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this" sheetId="1" state="visible" r:id="rId3"/>
    <sheet name="Test accounts" sheetId="2" state="visible" r:id="rId4"/>
    <sheet name="UAT tests" sheetId="3" state="visible" r:id="rId5"/>
    <sheet name="Summary" sheetId="4" state="visible" r:id="rId6"/>
    <sheet name="Issues raised" sheetId="5" state="visible" r:id="rId7"/>
  </sheets>
  <definedNames>
    <definedName function="false" hidden="true" localSheetId="2" name="_xlnm._FilterDatabase" vbProcedure="false">'UAT tests'!$A$1:$L$189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<sst xmlns="http://schemas.openxmlformats.org/spreadsheetml/2006/main" count="1470" uniqueCount="929">
  <si>
    <t xml:space="preserve">Portfolio Manager - User Acceptance Testing</t>
  </si>
  <si>
    <t xml:space="preserve">Build 2026.08.09.11  ·  188 tests across 25 areas  ·  issued 09 August 2026</t>
  </si>
  <si>
    <t xml:space="preserve">What we are asking you to do</t>
  </si>
  <si>
    <t xml:space="preserve">Use the tool as you would in your own job, follow the tests on the 'UAT tests' sheet, and tell us what is wrong or awkward. You are not checking that we built what we said we would build. You are telling us whether it is any use.</t>
  </si>
  <si>
    <t xml:space="preserve">The two columns that matter most are Commentary and Feedback / improvements. A test marked Pass with an empty comment tells us almost nothing. A test marked Pass with 'worked, but I would never find this button' is worth more than the pass itself.</t>
  </si>
  <si>
    <t xml:space="preserve">How to record a result</t>
  </si>
  <si>
    <t xml:space="preserve">Result - choose from the dropdown:</t>
  </si>
  <si>
    <t xml:space="preserve">        Pass - It did what the Expected result column says.</t>
  </si>
  <si>
    <t xml:space="preserve">        Fail - It did not. Say what happened instead in Commentary.</t>
  </si>
  <si>
    <t xml:space="preserve">        Blocked - You could not run it - a prerequisite failed, or you lack the role. Say which.</t>
  </si>
  <si>
    <t xml:space="preserve">        Not applicable - The test does not apply to your role or your part of the business.</t>
  </si>
  <si>
    <t xml:space="preserve">        Not tested - You did not get to it. Leave it rather than guessing.</t>
  </si>
  <si>
    <t xml:space="preserve">Commentary - what actually happened, in your own words. If it failed, the sequence you followed and anything the screen said. If a message appeared, quote it.</t>
  </si>
  <si>
    <t xml:space="preserve">Feedback / improvements - what you would change. Wording, order of fields, a missing column, a step that took four clicks and should take one. Nothing is too small and nothing is too large.</t>
  </si>
  <si>
    <t xml:space="preserve">If a button appears to do nothing</t>
  </si>
  <si>
    <t xml:space="preserve">Look at the top of the page first - failures now put a red message there. If there is nothing, press F12, open the Console tab, and copy anything red into Commentary. That single line is worth more to us than any other information you can give us.</t>
  </si>
  <si>
    <t xml:space="preserve">Prerequisites</t>
  </si>
  <si>
    <t xml:space="preserve">Some tests need another test done first - its ID is in the Prerequisite column. If the prerequisite failed, mark the dependent test Blocked rather than Fail, and name the prerequisite.</t>
  </si>
  <si>
    <t xml:space="preserve">Before you start</t>
  </si>
  <si>
    <t xml:space="preserve">An administrator needs to complete section 1 and give you an account. Record your account details on the 'Test accounts' sheet so we can tie results to roles.</t>
  </si>
  <si>
    <t xml:space="preserve">You cannot break anything</t>
  </si>
  <si>
    <t xml:space="preserve">Every change is versioned and recorded in an audit trail the tool cannot edit or delete. Create projects, raise risks, submit gates, reject things. Breaking it is the point. The one thing to avoid is editing a project one of your colleagues is using for their own test - the Test accounts sheet is there to divide the work up.</t>
  </si>
  <si>
    <t xml:space="preserve">Anything you find that is not on this list</t>
  </si>
  <si>
    <t xml:space="preserve">Add a row to the 'Issues raised' sheet. Tests we did not think to write are the most valuable thing to come out of a UAT week.</t>
  </si>
  <si>
    <t xml:space="preserve">Test accounts and who is testing what</t>
  </si>
  <si>
    <t xml:space="preserve">Filled in by the administrator during section 1, then by each tester. Agree a project each before you start, so two people are not editing the same one.</t>
  </si>
  <si>
    <t xml:space="preserve">Tester name</t>
  </si>
  <si>
    <t xml:space="preserve">Email</t>
  </si>
  <si>
    <t xml:space="preserve">RES id</t>
  </si>
  <si>
    <t xml:space="preserve">Permission level (role)</t>
  </si>
  <si>
    <t xml:space="preserve">Additional roles</t>
  </si>
  <si>
    <t xml:space="preserve">Access scope</t>
  </si>
  <si>
    <t xml:space="preserve">Project(s) to use</t>
  </si>
  <si>
    <t xml:space="preserve">Areas assigned</t>
  </si>
  <si>
    <t xml:space="preserve">Example: A Tester</t>
  </si>
  <si>
    <t xml:space="preserve">a.tester@example.com</t>
  </si>
  <si>
    <t xml:space="preserve">RES-0103</t>
  </si>
  <si>
    <t xml:space="preserve">Project Manager</t>
  </si>
  <si>
    <t xml:space="preserve">(none)</t>
  </si>
  <si>
    <t xml:space="preserve">Assigned projects</t>
  </si>
  <si>
    <t xml:space="preserve">PRJ-00012</t>
  </si>
  <si>
    <t xml:space="preserve">5, 6, 8</t>
  </si>
  <si>
    <t xml:space="preserve">The nine roles, for reference</t>
  </si>
  <si>
    <t xml:space="preserve">Role</t>
  </si>
  <si>
    <t xml:space="preserve">Default scope</t>
  </si>
  <si>
    <t xml:space="preserve">Permissions</t>
  </si>
  <si>
    <t xml:space="preserve">System Administrator</t>
  </si>
  <si>
    <t xml:space="preserve">Portfolio-wide</t>
  </si>
  <si>
    <t xml:space="preserve">47</t>
  </si>
  <si>
    <t xml:space="preserve">Portfolio Manager / PMO Manager</t>
  </si>
  <si>
    <t xml:space="preserve">46</t>
  </si>
  <si>
    <t xml:space="preserve">PMO Analyst</t>
  </si>
  <si>
    <t xml:space="preserve">34</t>
  </si>
  <si>
    <t xml:space="preserve">29</t>
  </si>
  <si>
    <t xml:space="preserve">Project Sponsor / Project Lead</t>
  </si>
  <si>
    <t xml:space="preserve">20</t>
  </si>
  <si>
    <t xml:space="preserve">Read-only / Auditor</t>
  </si>
  <si>
    <t xml:space="preserve">Selected projects</t>
  </si>
  <si>
    <t xml:space="preserve">18</t>
  </si>
  <si>
    <t xml:space="preserve">Resource Manager / Team Manager</t>
  </si>
  <si>
    <t xml:space="preserve">Team projects</t>
  </si>
  <si>
    <t xml:space="preserve">16</t>
  </si>
  <si>
    <t xml:space="preserve">Executive / Steering User</t>
  </si>
  <si>
    <t xml:space="preserve">Project Team Member</t>
  </si>
  <si>
    <t xml:space="preserve">14</t>
  </si>
  <si>
    <t xml:space="preserve">Test ID</t>
  </si>
  <si>
    <t xml:space="preserve">Area</t>
  </si>
  <si>
    <t xml:space="preserve">Role(s) needed</t>
  </si>
  <si>
    <t xml:space="preserve">Prereq</t>
  </si>
  <si>
    <t xml:space="preserve">Test</t>
  </si>
  <si>
    <t xml:space="preserve">Test steps</t>
  </si>
  <si>
    <t xml:space="preserve">Expected result</t>
  </si>
  <si>
    <t xml:space="preserve">Result</t>
  </si>
  <si>
    <t xml:space="preserve">Commentary</t>
  </si>
  <si>
    <t xml:space="preserve">Feedback / improvements</t>
  </si>
  <si>
    <t xml:space="preserve">Tester</t>
  </si>
  <si>
    <t xml:space="preserve">Date</t>
  </si>
  <si>
    <t xml:space="preserve">SET-01</t>
  </si>
  <si>
    <t xml:space="preserve">1. Setup and accounts</t>
  </si>
  <si>
    <t xml:space="preserve">-</t>
  </si>
  <si>
    <t xml:space="preserve">Create a test account for each role</t>
  </si>
  <si>
    <t xml:space="preserve">1. Sign in as a System Administrator.
2. Open Resources.
3. For each of the nine roles, add a person (or reuse a demo person) and set their Permission level to that role.
4. Set Login status to Active and record the RES-000NN each is given.
5. Note them on the 'Test accounts' sheet of this workbook.</t>
  </si>
  <si>
    <t xml:space="preserve">Nine person records exist, one per role, each with a permission level and an access scope. The RES id of each is recorded.</t>
  </si>
  <si>
    <t xml:space="preserve">SET-02</t>
  </si>
  <si>
    <t xml:space="preserve">Give each test account a sign-in</t>
  </si>
  <si>
    <t xml:space="preserve">1. In the Supabase dashboard, Authentication &gt; Users &gt; Add user, for each tester.
2. Use their real email, invent a temporary password, tick Auto Confirm User.
3. In the SQL editor run: select public.ppm_link_person_login('their.email', 'RES-000NN');
4. Send each tester their URL, email and temporary password.</t>
  </si>
  <si>
    <t xml:space="preserve">Each command returns without error. Each tester has credentials. Linking cannot be done from inside the tool, which is expected.</t>
  </si>
  <si>
    <t xml:space="preserve">SET-03</t>
  </si>
  <si>
    <t xml:space="preserve">Set up a person with two roles</t>
  </si>
  <si>
    <t xml:space="preserve">1. Open Resources and edit the Executive test account.
2. Leave Permission level as Executive / Steering User.
3. In Additional roles, select Project Sponsor / Project Lead.
4. Read the line under the picker.
5. Save.</t>
  </si>
  <si>
    <t xml:space="preserve">The helper line states how many roles are held and how many of the 47 permissions the combination grants. The save succeeds.</t>
  </si>
  <si>
    <t xml:space="preserve">SET-04</t>
  </si>
  <si>
    <t xml:space="preserve">Set up the four access scopes</t>
  </si>
  <si>
    <t xml:space="preserve">1. Set one tester to Portfolio-wide.
2. Set one to Assigned projects and name them as project manager on exactly two projects.
3. Set one to Team projects and give them a team that owns work.
4. Set one to Selected projects and pick exactly two projects.</t>
  </si>
  <si>
    <t xml:space="preserve">All four scopes are represented across the test accounts, ready for the scope tests.</t>
  </si>
  <si>
    <t xml:space="preserve">SET-05</t>
  </si>
  <si>
    <t xml:space="preserve">Confirm nobody can change their own access</t>
  </si>
  <si>
    <t xml:space="preserve">1. Sign in as a System Administrator.
2. Open Resources and edit your own record.
3. Try to change your own Permission level, Additional roles or Access scope.
4. Save.</t>
  </si>
  <si>
    <t xml:space="preserve">The change is refused with a message. This is enforced by the database, not just the screen, so it must fail even for an administrator.</t>
  </si>
  <si>
    <t xml:space="preserve">SGN-01</t>
  </si>
  <si>
    <t xml:space="preserve">2. Signing in</t>
  </si>
  <si>
    <t xml:space="preserve">Any</t>
  </si>
  <si>
    <t xml:space="preserve">First sign-in enrols an authenticator</t>
  </si>
  <si>
    <t xml:space="preserve">1. Open the tool URL in a browser that has never signed in.
2. Enter your email and the temporary password.
3. Scan the QR code with an authenticator app.
4. Enter the 6-digit code.
5. Choose your own password, at least 12 characters and different from the temporary one.</t>
  </si>
  <si>
    <t xml:space="preserve">You reach the tool. Neither enrolment nor the password change is asked for again.</t>
  </si>
  <si>
    <t xml:space="preserve">SGN-02</t>
  </si>
  <si>
    <t xml:space="preserve">Every later sign-in needs the authenticator code</t>
  </si>
  <si>
    <t xml:space="preserve">1. Sign out.
2. Sign in with email and your own password.
3. Observe what is asked for next.</t>
  </si>
  <si>
    <t xml:space="preserve">A 6-digit code is required. There is no way to skip it, and no data appears until it is accepted.</t>
  </si>
  <si>
    <t xml:space="preserve">SGN-03</t>
  </si>
  <si>
    <t xml:space="preserve">A wrong authenticator code is refused clearly</t>
  </si>
  <si>
    <t xml:space="preserve">1. Sign in with the correct password.
2. Enter six wrong digits.
3. Read the message.</t>
  </si>
  <si>
    <t xml:space="preserve">Sign-in is refused with a message naming the code as the problem. No data is shown.</t>
  </si>
  <si>
    <t xml:space="preserve">SGN-04</t>
  </si>
  <si>
    <t xml:space="preserve">A wrong password is refused clearly</t>
  </si>
  <si>
    <t xml:space="preserve">1. Enter your email with a wrong password.
2. Read the message.</t>
  </si>
  <si>
    <t xml:space="preserve">Refused with a message that does not reveal whether the email exists.</t>
  </si>
  <si>
    <t xml:space="preserve">SGN-05</t>
  </si>
  <si>
    <t xml:space="preserve">Closing the browser signs you out</t>
  </si>
  <si>
    <t xml:space="preserve">1. Sign in.
2. Close the browser completely.
3. Reopen it and go to the tool URL.</t>
  </si>
  <si>
    <t xml:space="preserve">You are asked to sign in again. The session is per browser session by design.</t>
  </si>
  <si>
    <t xml:space="preserve">SGN-06</t>
  </si>
  <si>
    <t xml:space="preserve">A second tab is a separate session</t>
  </si>
  <si>
    <t xml:space="preserve">1. Sign in in one tab.
2. Open the tool in a second tab of the same browser.
3. Observe.</t>
  </si>
  <si>
    <t xml:space="preserve">The second tab asks you to sign in. Records already on screen in the first tab remain correct and complete.</t>
  </si>
  <si>
    <t xml:space="preserve">SGN-07</t>
  </si>
  <si>
    <t xml:space="preserve">A disabled account cannot sign in</t>
  </si>
  <si>
    <t xml:space="preserve">1. As an administrator, set a tester's Login status to Disabled.
2. Ask that tester to sign in.</t>
  </si>
  <si>
    <t xml:space="preserve">Sign-in is refused, or succeeds but returns no data. Either is acceptable; note which happened.</t>
  </si>
  <si>
    <t xml:space="preserve">SGN-08</t>
  </si>
  <si>
    <t xml:space="preserve">There is no self-registration</t>
  </si>
  <si>
    <t xml:space="preserve">1. Open the sign-in page.
2. Look for any way to create an account or reset a password unaided.</t>
  </si>
  <si>
    <t xml:space="preserve">There is none. Accounts are created by an administrator only. This is deliberate.</t>
  </si>
  <si>
    <t xml:space="preserve">SGN-09</t>
  </si>
  <si>
    <t xml:space="preserve">Signing out ends the session properly</t>
  </si>
  <si>
    <t xml:space="preserve">1. Sign in.
2. Select Sign out.
3. Use the browser Back button.</t>
  </si>
  <si>
    <t xml:space="preserve">You are returned to sign-in and Back does not show data.</t>
  </si>
  <si>
    <t xml:space="preserve">LOAD-01</t>
  </si>
  <si>
    <t xml:space="preserve">3. Page loading and navigation</t>
  </si>
  <si>
    <t xml:space="preserve">Pages show a loading outline, not an empty page</t>
  </si>
  <si>
    <t xml:space="preserve">1. Clear your browser cache (Ctrl+Shift+R on a page).
2. Open Projects and watch the first second.
3. Repeat on Project details and Reports.</t>
  </si>
  <si>
    <t xml:space="preserve">Grey placeholder blocks and a thin progress bar appear, then the real content replaces them. You should never see a fully drawn but empty page.</t>
  </si>
  <si>
    <t xml:space="preserve">LOAD-02</t>
  </si>
  <si>
    <t xml:space="preserve">A warm load does not flash grey</t>
  </si>
  <si>
    <t xml:space="preserve">1. Reload a page you have just visited.
2. Watch closely.</t>
  </si>
  <si>
    <t xml:space="preserve">Either no placeholder at all or a brief one. It should not flicker in and out.</t>
  </si>
  <si>
    <t xml:space="preserve">LOAD-03</t>
  </si>
  <si>
    <t xml:space="preserve">Data is present on the first page you open</t>
  </si>
  <si>
    <t xml:space="preserve">1. Sign in fully.
2. Go straight to Projects without touching anything else.
3. Count the projects listed.
4. Do the same for Milestones, RAID Log and Registers.</t>
  </si>
  <si>
    <t xml:space="preserve">Records are listed immediately. You should not need to search, filter or reload to make data appear.</t>
  </si>
  <si>
    <t xml:space="preserve">LOAD-04</t>
  </si>
  <si>
    <t xml:space="preserve">Every navigation link works</t>
  </si>
  <si>
    <t xml:space="preserve">1. Visit every page in the top navigation in turn.
2. Note any that error, are blank, or are missing.</t>
  </si>
  <si>
    <t xml:space="preserve">Every page your role permits opens and shows content. Pages your role does not permit are absent or refuse politely.</t>
  </si>
  <si>
    <t xml:space="preserve">LOAD-05</t>
  </si>
  <si>
    <t xml:space="preserve">The browser Back button behaves</t>
  </si>
  <si>
    <t xml:space="preserve">1. Navigate through four pages.
2. Press Back repeatedly.
3. Press Forward.</t>
  </si>
  <si>
    <t xml:space="preserve">You move through the pages you visited without errors or blank screens.</t>
  </si>
  <si>
    <t xml:space="preserve">LOAD-06</t>
  </si>
  <si>
    <t xml:space="preserve">Nothing red appears in the console on any page</t>
  </si>
  <si>
    <t xml:space="preserve">1. Press F12 and open the Console tab.
2. Visit every page in turn.
3. Copy anything red into the Commentary column, naming the page.</t>
  </si>
  <si>
    <t xml:space="preserve">No red errors. Warnings in yellow are acceptable. This test is the single most useful one in the pack.</t>
  </si>
  <si>
    <t xml:space="preserve">PRJ-01</t>
  </si>
  <si>
    <t xml:space="preserve">4. Projects list</t>
  </si>
  <si>
    <t xml:space="preserve">Any with projects.view</t>
  </si>
  <si>
    <t xml:space="preserve">The project list shows the right projects</t>
  </si>
  <si>
    <t xml:space="preserve">1. Open Projects.
2. Count the rows.
3. Compare with what your access scope should allow.</t>
  </si>
  <si>
    <t xml:space="preserve">You see exactly the projects your scope permits, and no others.</t>
  </si>
  <si>
    <t xml:space="preserve">PRJ-02</t>
  </si>
  <si>
    <t xml:space="preserve">Search finds a project by name and by code</t>
  </si>
  <si>
    <t xml:space="preserve">1. Type part of a project name into the search box.
2. Clear it and type a project code such as PRJ-00012.</t>
  </si>
  <si>
    <t xml:space="preserve">The list narrows to matching projects in both cases.</t>
  </si>
  <si>
    <t xml:space="preserve">PRJ-03</t>
  </si>
  <si>
    <t xml:space="preserve">Status and RAG filters work</t>
  </si>
  <si>
    <t xml:space="preserve">1. Filter by status Active.
2. Clear it and filter by RAG Red.
3. Clear both.</t>
  </si>
  <si>
    <t xml:space="preserve">The list narrows correctly each time and returns to full when cleared.</t>
  </si>
  <si>
    <t xml:space="preserve">PRJ-04</t>
  </si>
  <si>
    <t xml:space="preserve">Create a project</t>
  </si>
  <si>
    <t xml:space="preserve">1. Select Add project.
2. Fill in the required fields, noting any that are unclear.
3. Save.
4. Find the new project in the list and open it.</t>
  </si>
  <si>
    <t xml:space="preserve">The project is created with a new PRJ code and opens correctly. Note in Feedback any field whose purpose was not obvious.</t>
  </si>
  <si>
    <t xml:space="preserve">PRJ-05</t>
  </si>
  <si>
    <t xml:space="preserve">The new project survives a reload</t>
  </si>
  <si>
    <t xml:space="preserve">1. Reload the page.
2. Find the project again.</t>
  </si>
  <si>
    <t xml:space="preserve">It is still there with the values you entered. This proves the save reached the database rather than only the browser.</t>
  </si>
  <si>
    <t xml:space="preserve">PRJ-06</t>
  </si>
  <si>
    <t xml:space="preserve">Duplicate a project</t>
  </si>
  <si>
    <t xml:space="preserve">1. From the project list, duplicate your test project.
2. Give the copy a name.
3. Open the copy and compare it with the original.</t>
  </si>
  <si>
    <t xml:space="preserve">A new project is created with its own code. Note in Feedback anything copied that should not have been, or omitted that should have been.</t>
  </si>
  <si>
    <t xml:space="preserve">PRJ-07</t>
  </si>
  <si>
    <t xml:space="preserve">Any with projects.archive</t>
  </si>
  <si>
    <t xml:space="preserve">Archive a project</t>
  </si>
  <si>
    <t xml:space="preserve">1. Set the project status to Completed.
2. Archive it, recording a reason.
3. Return to the project list.</t>
  </si>
  <si>
    <t xml:space="preserve">The project no longer appears in the default list. Archiving requires a reason.</t>
  </si>
  <si>
    <t xml:space="preserve">PRJ-08</t>
  </si>
  <si>
    <t xml:space="preserve">An archived project is found by searching</t>
  </si>
  <si>
    <t xml:space="preserve">1. With no filters set, confirm the archived project is hidden.
2. Now search for its name or code.</t>
  </si>
  <si>
    <t xml:space="preserve">It is hidden by default and found by search. Say in Feedback whether that is the behaviour you would expect.</t>
  </si>
  <si>
    <t xml:space="preserve">PRJ-09</t>
  </si>
  <si>
    <t xml:space="preserve">An archived project is read-only</t>
  </si>
  <si>
    <t xml:space="preserve">1. Open the archived project.
2. Try to edit it.</t>
  </si>
  <si>
    <t xml:space="preserve">A notice says it is archived and read-only, and editing is prevented.</t>
  </si>
  <si>
    <t xml:space="preserve">PRJ-10</t>
  </si>
  <si>
    <t xml:space="preserve">Reopen an archived project</t>
  </si>
  <si>
    <t xml:space="preserve">1. Reopen the project from the list.
2. Open it and check its status.</t>
  </si>
  <si>
    <t xml:space="preserve">It returns to the list and to the status it had before archiving.</t>
  </si>
  <si>
    <t xml:space="preserve">EDT-01</t>
  </si>
  <si>
    <t xml:space="preserve">5. Editing a project</t>
  </si>
  <si>
    <t xml:space="preserve">Any with projects.edit</t>
  </si>
  <si>
    <t xml:space="preserve">Edit project details opens on the same page</t>
  </si>
  <si>
    <t xml:space="preserve">1. Open a project's details page.
2. Select Edit project details.
3. Observe where you end up.</t>
  </si>
  <si>
    <t xml:space="preserve">A form opens in a panel on the same page. You are NOT taken to an Add project screen and the URL does not change.</t>
  </si>
  <si>
    <t xml:space="preserve">EDT-02</t>
  </si>
  <si>
    <t xml:space="preserve">The details form holds what it should</t>
  </si>
  <si>
    <t xml:space="preserve">1. With the form open, read the group headings.
2. Open each group in turn.</t>
  </si>
  <si>
    <t xml:space="preserve">Groups are Identity, Where it sits, People accountable, What it delivers, Strategic context - 43 fields. Nothing about weekly status appears here.</t>
  </si>
  <si>
    <t xml:space="preserve">EDT-03</t>
  </si>
  <si>
    <t xml:space="preserve">Any with projects.status</t>
  </si>
  <si>
    <t xml:space="preserve">Update project status opens on the same page</t>
  </si>
  <si>
    <t xml:space="preserve">1. On a project's details page, select Update project status.</t>
  </si>
  <si>
    <t xml:space="preserve">A form opens in a panel on the same page, headed Update project status.</t>
  </si>
  <si>
    <t xml:space="preserve">EDT-04</t>
  </si>
  <si>
    <t xml:space="preserve">The status form opens with the right fields first</t>
  </si>
  <si>
    <t xml:space="preserve">1. Read the first group and the order of the fields in it.</t>
  </si>
  <si>
    <t xml:space="preserve">The first group is Where it stands now, containing Current Position, Next Steps, Reason for Slippage, Return to Green Actions, Current Stage, Next Stage, Forecast Start Date, Forecast End Date - and it is already open.</t>
  </si>
  <si>
    <t xml:space="preserve">EDT-05</t>
  </si>
  <si>
    <t xml:space="preserve">RAG comes after the commentary, not before</t>
  </si>
  <si>
    <t xml:space="preserve">1. Look at the order of the groups.</t>
  </si>
  <si>
    <t xml:space="preserve">RAG assessment is the second group, after the commentary. Say in Feedback whether that order matches how you actually report.</t>
  </si>
  <si>
    <t xml:space="preserve">EDT-06</t>
  </si>
  <si>
    <t xml:space="preserve">RAG values are shown in their own colour</t>
  </si>
  <si>
    <t xml:space="preserve">1. Open the RAG assessment group.
2. Set Overall RAG to Green, then Amber, then Red, then Not Assessed.</t>
  </si>
  <si>
    <t xml:space="preserve">Green shows green, Amber amber, Red red, Not Assessed grey. No other colour appears.</t>
  </si>
  <si>
    <t xml:space="preserve">EDT-07</t>
  </si>
  <si>
    <t xml:space="preserve">A RAG override must be explained</t>
  </si>
  <si>
    <t xml:space="preserve">1. Set a reported RAG to a value different from the Calculated one shown beside it.
2. Leave the reason blank and select Save changes.</t>
  </si>
  <si>
    <t xml:space="preserve">The save is refused, the field is marked, and a reason is requested. Filling the reason in allows the save.</t>
  </si>
  <si>
    <t xml:space="preserve">EDT-08</t>
  </si>
  <si>
    <t xml:space="preserve">Backwards dates are refused</t>
  </si>
  <si>
    <t xml:space="preserve">1. Set Forecast End Date earlier than Forecast Start Date.
2. Save.</t>
  </si>
  <si>
    <t xml:space="preserve">Refused with a message against the end date. Repeat for baseline and actual dates if time allows.</t>
  </si>
  <si>
    <t xml:space="preserve">EDT-09</t>
  </si>
  <si>
    <t xml:space="preserve">Percentage complete is bounded</t>
  </si>
  <si>
    <t xml:space="preserve">1. Enter 150 in Percentage Complete.
2. Save.</t>
  </si>
  <si>
    <t xml:space="preserve">Refused with a message saying it must be between 0 and 100.</t>
  </si>
  <si>
    <t xml:space="preserve">EDT-10</t>
  </si>
  <si>
    <t xml:space="preserve">A status update saves and shows on the page</t>
  </si>
  <si>
    <t xml:space="preserve">1. Change Current Position and Next Steps to something recognisable.
2. Save changes.
3. Read the panels on the details page.
4. Reload the page.</t>
  </si>
  <si>
    <t xml:space="preserve">The panel closes, a success message appears, the new text shows in the Project status panel, and it is still there after a reload.</t>
  </si>
  <si>
    <t xml:space="preserve">EDT-11</t>
  </si>
  <si>
    <t xml:space="preserve">A status update is recorded in RAG history</t>
  </si>
  <si>
    <t xml:space="preserve">1. Open the RAG reporting history panel on the details page.</t>
  </si>
  <si>
    <t xml:space="preserve">Your update appears as a new entry with a date. Older entries are unchanged - the history is a record, not an editable field.</t>
  </si>
  <si>
    <t xml:space="preserve">EDT-12</t>
  </si>
  <si>
    <t xml:space="preserve">Cancel discards changes</t>
  </si>
  <si>
    <t xml:space="preserve">1. Open Edit project details.
2. Change a field.
3. Select Cancel.
4. Reopen the form.</t>
  </si>
  <si>
    <t xml:space="preserve">The panel closes and your change is not saved.</t>
  </si>
  <si>
    <t xml:space="preserve">EDT-13</t>
  </si>
  <si>
    <t xml:space="preserve">Edit assurance evidence opens grouped by stage</t>
  </si>
  <si>
    <t xml:space="preserve">1. On the details page, find Lifecycle readiness.
2. Select Edit assurance evidence.
3. Read the group names.</t>
  </si>
  <si>
    <t xml:space="preserve">Groups are Intake, Discovery, Requirements and design, Build and test, Implementation, Closure - 38 fields.</t>
  </si>
  <si>
    <t xml:space="preserve">EDT-14</t>
  </si>
  <si>
    <t xml:space="preserve">Every field heading is properly worded</t>
  </si>
  <si>
    <t xml:space="preserve">1. Open all three editors in turn.
2. Scan every field heading.
3. List in Commentary any heading that reads like a variable name, is mis-capitalised, or is unclear.</t>
  </si>
  <si>
    <t xml:space="preserve">Every heading is plain English in title case, for example Proposed Start Date and Reason for Slippage. None looks like code.</t>
  </si>
  <si>
    <t xml:space="preserve">EDT-15</t>
  </si>
  <si>
    <t xml:space="preserve">Two testers</t>
  </si>
  <si>
    <t xml:space="preserve">Two people editing at once is handled</t>
  </si>
  <si>
    <t xml:space="preserve">1. Tester A opens Update project status on a project and leaves it open.
2. Tester B changes the same project and saves.
3. Tester A now saves.</t>
  </si>
  <si>
    <t xml:space="preserve">Tester A is told the record was changed by someone else and nothing of Tester B's is overwritten. Reloading and reapplying works.</t>
  </si>
  <si>
    <t xml:space="preserve">EDT-16</t>
  </si>
  <si>
    <t xml:space="preserve">The project description is near the status</t>
  </si>
  <si>
    <t xml:space="preserve">1. Open a project's details page.
2. Look at the order of the panels.</t>
  </si>
  <si>
    <t xml:space="preserve">Description and scope sits directly under Project status. Say in Feedback whether that is where you would look for it.</t>
  </si>
  <si>
    <t xml:space="preserve">EDT-17</t>
  </si>
  <si>
    <t xml:space="preserve">Editing does not offer to change the project code</t>
  </si>
  <si>
    <t xml:space="preserve">1. Open Edit project details.
2. Find Project Code.</t>
  </si>
  <si>
    <t xml:space="preserve">It is shown but cannot be typed into. The code is generated and permanent.</t>
  </si>
  <si>
    <t xml:space="preserve">PLN-01</t>
  </si>
  <si>
    <t xml:space="preserve">6. Project plan</t>
  </si>
  <si>
    <t xml:space="preserve">Any with plan.view</t>
  </si>
  <si>
    <t xml:space="preserve">The plan opens and shows its tasks</t>
  </si>
  <si>
    <t xml:space="preserve">1. Open a project with a plan, from the project details page or the navigation.</t>
  </si>
  <si>
    <t xml:space="preserve">The plan table lists tasks with owners, dates and progress. Columns are readable and headings are not wrapped mid-word.</t>
  </si>
  <si>
    <t xml:space="preserve">PLN-02</t>
  </si>
  <si>
    <t xml:space="preserve">No stray lines are drawn over the page</t>
  </si>
  <si>
    <t xml:space="preserve">1. Look at the whole plan page, including above the table and over the header.
2. Scroll to the bottom and back.</t>
  </si>
  <si>
    <t xml:space="preserve">There are no red or purple lines crossing the page or the header. Dependency lines appear only inside the timeline view.</t>
  </si>
  <si>
    <t xml:space="preserve">PLN-03</t>
  </si>
  <si>
    <t xml:space="preserve">Any with plan.edit</t>
  </si>
  <si>
    <t xml:space="preserve">Add a plan task</t>
  </si>
  <si>
    <t xml:space="preserve">1. Select Add plan row.
2. Enter a task name, owner, phase, forecast dates and effort.
3. Save.
4. Reload the page.</t>
  </si>
  <si>
    <t xml:space="preserve">The task is added and survives the reload.</t>
  </si>
  <si>
    <t xml:space="preserve">PLN-04</t>
  </si>
  <si>
    <t xml:space="preserve">Edit a task inline</t>
  </si>
  <si>
    <t xml:space="preserve">1. Change a task's percentage complete and status directly in the table.
2. Save.
3. Reload.</t>
  </si>
  <si>
    <t xml:space="preserve">The change persists.</t>
  </si>
  <si>
    <t xml:space="preserve">PLN-05</t>
  </si>
  <si>
    <t xml:space="preserve">Task hierarchy works</t>
  </si>
  <si>
    <t xml:space="preserve">1. Set one task's Parent Item to another task.
2. Save and look at the indentation.</t>
  </si>
  <si>
    <t xml:space="preserve">The child task is indented under its parent.</t>
  </si>
  <si>
    <t xml:space="preserve">PLN-06</t>
  </si>
  <si>
    <t xml:space="preserve">Dependencies and critical path</t>
  </si>
  <si>
    <t xml:space="preserve">1. Add a dependency between two dated tasks.
2. Save and look at the Critical Path column and the plan-item counters at the top.</t>
  </si>
  <si>
    <t xml:space="preserve">The dependency is recorded, and tasks on the critical path are marked. Note in Feedback whether the marking matches your expectation.</t>
  </si>
  <si>
    <t xml:space="preserve">PLN-07</t>
  </si>
  <si>
    <t xml:space="preserve">The timeline view draws correctly</t>
  </si>
  <si>
    <t xml:space="preserve">1. Switch to the timeline or Gantt view of the plan.
2. Change the zoom between Week, Month, Quarter and Year.</t>
  </si>
  <si>
    <t xml:space="preserve">Bars appear in the right places at every zoom, with dependency arrows between linked tasks and nothing drawn outside the timeline area.</t>
  </si>
  <si>
    <t xml:space="preserve">PLN-08</t>
  </si>
  <si>
    <t xml:space="preserve">Column widths can be adjusted and reset</t>
  </si>
  <si>
    <t xml:space="preserve">1. Drag a column heading edge to resize it.
2. Double-click the edge to reset that column.
3. Reload the page.</t>
  </si>
  <si>
    <t xml:space="preserve">Resizing works, double-click resets, and your widths are remembered after a reload.</t>
  </si>
  <si>
    <t xml:space="preserve">PLN-09</t>
  </si>
  <si>
    <t xml:space="preserve">Slippage capture</t>
  </si>
  <si>
    <t xml:space="preserve">1. Set a task's forecast end date later than its baseline end date.
2. Fill in Slippage impact, Reason for slippage and Return-to-green action.
3. Save.</t>
  </si>
  <si>
    <t xml:space="preserve">The task is marked as slipped and the explanation is retained.</t>
  </si>
  <si>
    <t xml:space="preserve">PLN-10</t>
  </si>
  <si>
    <t xml:space="preserve">A team member can only edit their own rows</t>
  </si>
  <si>
    <t xml:space="preserve">1. Sign in as the Project Team Member tester.
2. Open a plan containing tasks owned by them and tasks owned by others.
3. Try to edit each.</t>
  </si>
  <si>
    <t xml:space="preserve">Only rows they own are editable. Others are disabled with an explanation.</t>
  </si>
  <si>
    <t xml:space="preserve">PLN-11</t>
  </si>
  <si>
    <t xml:space="preserve">Request a rebaseline</t>
  </si>
  <si>
    <t xml:space="preserve">1. Request a new baseline, giving a reason.
2. Observe what happens to the request.</t>
  </si>
  <si>
    <t xml:space="preserve">The request is recorded as Requested and awaits an independent approver. The requester cannot approve it themselves.</t>
  </si>
  <si>
    <t xml:space="preserve">PLN-12</t>
  </si>
  <si>
    <t xml:space="preserve">Approve a rebaseline</t>
  </si>
  <si>
    <t xml:space="preserve">1. Sign in as the sponsor.
2. Find the rebaseline request, from the notification or the plan page.
3. Approve it.
4. Look at the baseline dates on the plan.</t>
  </si>
  <si>
    <t xml:space="preserve">The request is approved, the baseline moves, and the previous baseline is retained in history.</t>
  </si>
  <si>
    <t xml:space="preserve">PLN-13</t>
  </si>
  <si>
    <t xml:space="preserve">You cannot approve your own rebaseline request</t>
  </si>
  <si>
    <t xml:space="preserve">1. As the requester, try to approve your own request.</t>
  </si>
  <si>
    <t xml:space="preserve">Refused. Requesting and approving are deliberately separate.</t>
  </si>
  <si>
    <t xml:space="preserve">MIL-01</t>
  </si>
  <si>
    <t xml:space="preserve">7. Milestones</t>
  </si>
  <si>
    <t xml:space="preserve">Any with milestones.view</t>
  </si>
  <si>
    <t xml:space="preserve">Milestones list and baseline comparison</t>
  </si>
  <si>
    <t xml:space="preserve">1. Open Milestones.
2. Select a project.
3. Compare baseline and forecast columns.</t>
  </si>
  <si>
    <t xml:space="preserve">Milestones are listed with both dates and a status. Late milestones are visibly distinguished.</t>
  </si>
  <si>
    <t xml:space="preserve">MIL-02</t>
  </si>
  <si>
    <t xml:space="preserve">Any with milestones.edit</t>
  </si>
  <si>
    <t xml:space="preserve">Add and complete a milestone</t>
  </si>
  <si>
    <t xml:space="preserve">1. Add a milestone with a name, type and dates.
2. Save.
3. Mark it complete.
4. Reload.</t>
  </si>
  <si>
    <t xml:space="preserve">Both the addition and the completion persist.</t>
  </si>
  <si>
    <t xml:space="preserve">MIL-03</t>
  </si>
  <si>
    <t xml:space="preserve">Milestones roll up to the portfolio view</t>
  </si>
  <si>
    <t xml:space="preserve">1. With no project selected, view milestones across the portfolio.</t>
  </si>
  <si>
    <t xml:space="preserve">Milestones from every project your scope permits are listed together.</t>
  </si>
  <si>
    <t xml:space="preserve">MIL-04</t>
  </si>
  <si>
    <t xml:space="preserve">Any with programmes.view</t>
  </si>
  <si>
    <t xml:space="preserve">Programme-level milestones are separate</t>
  </si>
  <si>
    <t xml:space="preserve">1. Open Programmes and find a programme's milestones.</t>
  </si>
  <si>
    <t xml:space="preserve">Programme milestones are held against the programme, not forced onto a project.</t>
  </si>
  <si>
    <t xml:space="preserve">GAT-01</t>
  </si>
  <si>
    <t xml:space="preserve">8. Stage gates</t>
  </si>
  <si>
    <t xml:space="preserve">Any with stageGates.view</t>
  </si>
  <si>
    <t xml:space="preserve">Stage gates list and history</t>
  </si>
  <si>
    <t xml:space="preserve">1. Open Stage gates.
2. Select a project with gates.
3. Read the decision history.</t>
  </si>
  <si>
    <t xml:space="preserve">Gates are listed with their status and stage, and past decisions are shown with who made them and when.</t>
  </si>
  <si>
    <t xml:space="preserve">GAT-02</t>
  </si>
  <si>
    <t xml:space="preserve">Submit a stage gate</t>
  </si>
  <si>
    <t xml:space="preserve">1. Create or open a draft gate.
2. Name at least one required approver who is not you.
3. Complete the mandatory information for the stage.
4. Submit.</t>
  </si>
  <si>
    <t xml:space="preserve">The gate moves to Submitted. Submission is refused if no approver is named or if mandatory information is missing.</t>
  </si>
  <si>
    <t xml:space="preserve">GAT-03</t>
  </si>
  <si>
    <t xml:space="preserve">You cannot be your own approver</t>
  </si>
  <si>
    <t xml:space="preserve">1. Try to name yourself as a required approver on a gate you are submitting.</t>
  </si>
  <si>
    <t xml:space="preserve">Refused. The submission owner cannot also be a required approver.</t>
  </si>
  <si>
    <t xml:space="preserve">GAT-04</t>
  </si>
  <si>
    <t xml:space="preserve">The named approver is notified</t>
  </si>
  <si>
    <t xml:space="preserve">1. Sign in as the named approver.
2. Open the notification bell before going anywhere else.</t>
  </si>
  <si>
    <t xml:space="preserve">A notification says a stage gate is awaiting your decision, naming the gate and project.</t>
  </si>
  <si>
    <t xml:space="preserve">GAT-05</t>
  </si>
  <si>
    <t xml:space="preserve">Approve a stage gate</t>
  </si>
  <si>
    <t xml:space="preserve">1. Open the gate from the notification.
2. Approve it, adding a comment.
3. Check the project's stage.</t>
  </si>
  <si>
    <t xml:space="preserve">The gate is approved, the comment is recorded against you, and the project moves to the next stage.</t>
  </si>
  <si>
    <t xml:space="preserve">GAT-06</t>
  </si>
  <si>
    <t xml:space="preserve">Reject and defer a stage gate</t>
  </si>
  <si>
    <t xml:space="preserve">1. On another submitted gate, reject it with a reason.
2. On a third, defer it with a reason.</t>
  </si>
  <si>
    <t xml:space="preserve">Both outcomes are recorded with the reason, and the project's stage does not advance.</t>
  </si>
  <si>
    <t xml:space="preserve">GAT-07</t>
  </si>
  <si>
    <t xml:space="preserve">A rejected gate can be returned to draft and resubmitted</t>
  </si>
  <si>
    <t xml:space="preserve">1. Open the rejected gate.
2. Return it to draft, address the reason, and resubmit.</t>
  </si>
  <si>
    <t xml:space="preserve">The transition is allowed and the history shows the full sequence.</t>
  </si>
  <si>
    <t xml:space="preserve">GAT-08</t>
  </si>
  <si>
    <t xml:space="preserve">An executive with a sponsor role can approve</t>
  </si>
  <si>
    <t xml:space="preserve">1. Using the account given two roles in SET-03, be named as approver on a gate.
2. Sign in as that person.
3. Check the notification and open the gate.
4. Approve it.</t>
  </si>
  <si>
    <t xml:space="preserve">They are notified and can approve, while still seeing every project in the portfolio. This is the case multiple roles exist for.</t>
  </si>
  <si>
    <t xml:space="preserve">GAT-09</t>
  </si>
  <si>
    <t xml:space="preserve">A named approver whose role cannot approve is still told</t>
  </si>
  <si>
    <t xml:space="preserve">1. Remove the additional role from the executive account so it is Executive only.
2. Have them named as an approver on a gate, if the tool allows it.
3. Sign in as them and read the notification.</t>
  </si>
  <si>
    <t xml:space="preserve">Either they are told and the notification explains that their roles cannot approve and to ask an administrator, or naming them was refused at submission. Record which happened.</t>
  </si>
  <si>
    <t xml:space="preserve">GAT-10</t>
  </si>
  <si>
    <t xml:space="preserve">Any with stageGates.override</t>
  </si>
  <si>
    <t xml:space="preserve">A stage override is possible and recorded</t>
  </si>
  <si>
    <t xml:space="preserve">1. Move a project's stage without a gate, recording a reason.</t>
  </si>
  <si>
    <t xml:space="preserve">Allowed only with the override permission, and the reason is recorded in the audit trail.</t>
  </si>
  <si>
    <t xml:space="preserve">RAD-01</t>
  </si>
  <si>
    <t xml:space="preserve">9. RAID log</t>
  </si>
  <si>
    <t xml:space="preserve">Any with raid.view</t>
  </si>
  <si>
    <t xml:space="preserve">RAID log opens with all four types</t>
  </si>
  <si>
    <t xml:space="preserve">1. Open RAID Log.
2. Select a project.
3. Filter by each of risk, assumption, issue and dependency.</t>
  </si>
  <si>
    <t xml:space="preserve">All four types are present and filterable.</t>
  </si>
  <si>
    <t xml:space="preserve">RAD-02</t>
  </si>
  <si>
    <t xml:space="preserve">Any with raid.edit</t>
  </si>
  <si>
    <t xml:space="preserve">Raise a risk with scoring</t>
  </si>
  <si>
    <t xml:space="preserve">1. Add a risk with a title, cause, effect, owner and review date.
2. Set inherent probability and impact.
3. Save.</t>
  </si>
  <si>
    <t xml:space="preserve">A score is calculated from probability and impact, and the item is listed with it.</t>
  </si>
  <si>
    <t xml:space="preserve">RAD-03</t>
  </si>
  <si>
    <t xml:space="preserve">Mitigation reduces the residual score</t>
  </si>
  <si>
    <t xml:space="preserve">1. Add mitigation and set residual probability and impact.
2. Save.</t>
  </si>
  <si>
    <t xml:space="preserve">The residual score is shown alongside the inherent score.</t>
  </si>
  <si>
    <t xml:space="preserve">RAD-04</t>
  </si>
  <si>
    <t xml:space="preserve">Raise an issue and an escalation</t>
  </si>
  <si>
    <t xml:space="preserve">1. Add an issue with a delivery impact and a resolution owner.
2. Set its escalation status.
3. Save.</t>
  </si>
  <si>
    <t xml:space="preserve">Both persist and the escalation is visible in the list.</t>
  </si>
  <si>
    <t xml:space="preserve">RAD-05</t>
  </si>
  <si>
    <t xml:space="preserve">A dependency records both sides</t>
  </si>
  <si>
    <t xml:space="preserve">1. Add a dependency, naming the provider and the recipient and a required-by date.</t>
  </si>
  <si>
    <t xml:space="preserve">Both sides and the date are recorded.</t>
  </si>
  <si>
    <t xml:space="preserve">RAD-06</t>
  </si>
  <si>
    <t xml:space="preserve">Closing an item needs evidence</t>
  </si>
  <si>
    <t xml:space="preserve">1. Close a RAID item.
2. Observe what is asked for.</t>
  </si>
  <si>
    <t xml:space="preserve">Closure evidence and a date are recorded. The item is not deleted.</t>
  </si>
  <si>
    <t xml:space="preserve">RAD-07</t>
  </si>
  <si>
    <t xml:space="preserve">The owner is notified when a review is due</t>
  </si>
  <si>
    <t xml:space="preserve">1. Set a RAID item's review or target date to today or earlier, owned by you.
2. Reload and open the notification bell.</t>
  </si>
  <si>
    <t xml:space="preserve">A notification names that item. Somebody who does not own it should not be told about it.</t>
  </si>
  <si>
    <t xml:space="preserve">REG-01</t>
  </si>
  <si>
    <t xml:space="preserve">10. Registers</t>
  </si>
  <si>
    <t xml:space="preserve">Any with registers.view</t>
  </si>
  <si>
    <t xml:space="preserve">All four registers open</t>
  </si>
  <si>
    <t xml:space="preserve">1. Open Registers.
2. Switch between Actions, Decisions, Documents and Status reports.</t>
  </si>
  <si>
    <t xml:space="preserve">All four are present, each with its own columns.</t>
  </si>
  <si>
    <t xml:space="preserve">REG-02</t>
  </si>
  <si>
    <t xml:space="preserve">Any with registers.edit</t>
  </si>
  <si>
    <t xml:space="preserve">Add an action and complete it</t>
  </si>
  <si>
    <t xml:space="preserve">1. Add an action with an owner and a due date.
2. Save.
3. Mark it complete.
4. Reload.</t>
  </si>
  <si>
    <t xml:space="preserve">Both changes persist.</t>
  </si>
  <si>
    <t xml:space="preserve">REG-03</t>
  </si>
  <si>
    <t xml:space="preserve">Record a decision</t>
  </si>
  <si>
    <t xml:space="preserve">1. Add a decision with background, options considered, recommendation and a decision owner.
2. Save.</t>
  </si>
  <si>
    <t xml:space="preserve">All fields are retained and the decision is listed.</t>
  </si>
  <si>
    <t xml:space="preserve">REG-04</t>
  </si>
  <si>
    <t xml:space="preserve">Add a document link</t>
  </si>
  <si>
    <t xml:space="preserve">1. Add a document with a title and a link.
2. Save.
3. Follow the link.</t>
  </si>
  <si>
    <t xml:space="preserve">The entry is saved and the link opens. Note in Feedback whether link validation is strict enough.</t>
  </si>
  <si>
    <t xml:space="preserve">REG-05</t>
  </si>
  <si>
    <t xml:space="preserve">Submit a status report</t>
  </si>
  <si>
    <t xml:space="preserve">1. Add a status report for the current period.
2. Submit it.</t>
  </si>
  <si>
    <t xml:space="preserve">It is recorded against the period. Note whether the period offered was the one you expected.</t>
  </si>
  <si>
    <t xml:space="preserve">REG-06</t>
  </si>
  <si>
    <t xml:space="preserve">A locked status report cannot be edited</t>
  </si>
  <si>
    <t xml:space="preserve">1. Find a status report with status Locked.
2. Try to edit it.</t>
  </si>
  <si>
    <t xml:space="preserve">Editing is prevented and the row is visibly marked.</t>
  </si>
  <si>
    <t xml:space="preserve">REG-07</t>
  </si>
  <si>
    <t xml:space="preserve">Column widths suit the content</t>
  </si>
  <si>
    <t xml:space="preserve">1. Look at each register's columns.
2. Note any heading that is cut off or wrapped mid-word, and any column too narrow to read.</t>
  </si>
  <si>
    <t xml:space="preserve">Every column is wide enough for its heading and content.</t>
  </si>
  <si>
    <t xml:space="preserve">BEN-01</t>
  </si>
  <si>
    <t xml:space="preserve">11. Benefits</t>
  </si>
  <si>
    <t xml:space="preserve">Any with benefits.view</t>
  </si>
  <si>
    <t xml:space="preserve">Benefits list at project and programme level</t>
  </si>
  <si>
    <t xml:space="preserve">1. Open Benefits.
2. Filter by a project, then by a programme.</t>
  </si>
  <si>
    <t xml:space="preserve">Both filters work and a benefit can belong to a programme rather than a project.</t>
  </si>
  <si>
    <t xml:space="preserve">BEN-02</t>
  </si>
  <si>
    <t xml:space="preserve">Any with benefits.edit</t>
  </si>
  <si>
    <t xml:space="preserve">Add a benefit with measurement</t>
  </si>
  <si>
    <t xml:space="preserve">1. Add a benefit with a baseline, a target, a measure and an owner.
2. Save.
3. Reload.</t>
  </si>
  <si>
    <t xml:space="preserve">It persists with all its measurement fields.</t>
  </si>
  <si>
    <t xml:space="preserve">BEN-03</t>
  </si>
  <si>
    <t xml:space="preserve">The benefit owner is notified when a review is due</t>
  </si>
  <si>
    <t xml:space="preserve">1. Set a benefit review date to today or earlier, owned by you.
2. Reload and check notifications.</t>
  </si>
  <si>
    <t xml:space="preserve">A notification names that benefit.</t>
  </si>
  <si>
    <t xml:space="preserve">FIN-01</t>
  </si>
  <si>
    <t xml:space="preserve">12. Financials</t>
  </si>
  <si>
    <t xml:space="preserve">Any with financials.viewDetail</t>
  </si>
  <si>
    <t xml:space="preserve">Financials open with the numbers</t>
  </si>
  <si>
    <t xml:space="preserve">1. Open Financials.
2. Select a project.
3. Read budget, forecast, actual and variance.</t>
  </si>
  <si>
    <t xml:space="preserve">All figures are shown, correctly formatted as currency, with variance calculated.</t>
  </si>
  <si>
    <t xml:space="preserve">FIN-02</t>
  </si>
  <si>
    <t xml:space="preserve">A team member sees the colour and not the numbers</t>
  </si>
  <si>
    <t xml:space="preserve">1. Sign in as the Project Team Member tester.
2. Open a project's financial information.</t>
  </si>
  <si>
    <t xml:space="preserve">The financial RAG is visible but the amounts are not. This is deliberate.</t>
  </si>
  <si>
    <t xml:space="preserve">FIN-03</t>
  </si>
  <si>
    <t xml:space="preserve">Any with financials.edit</t>
  </si>
  <si>
    <t xml:space="preserve">Add and edit a cost line</t>
  </si>
  <si>
    <t xml:space="preserve">1. Add a cost line in a category with a budget and a forecast.
2. Save.
3. Reload.
4. Edit it.</t>
  </si>
  <si>
    <t xml:space="preserve">The line persists and the project totals update to match.</t>
  </si>
  <si>
    <t xml:space="preserve">FIN-04</t>
  </si>
  <si>
    <t xml:space="preserve">Any with financials.configure</t>
  </si>
  <si>
    <t xml:space="preserve">Manage cost categories</t>
  </si>
  <si>
    <t xml:space="preserve">1. Add a cost category, rename one and deactivate one.</t>
  </si>
  <si>
    <t xml:space="preserve">Changes take effect in the category pickers. A deactivated category no longer offers itself for new lines.</t>
  </si>
  <si>
    <t xml:space="preserve">FIN-05</t>
  </si>
  <si>
    <t xml:space="preserve">Request a budget change</t>
  </si>
  <si>
    <t xml:space="preserve">1. Request a budget change, entering a proposed budget, a reason and an approver who is not you.
2. Submit.</t>
  </si>
  <si>
    <t xml:space="preserve">The request is recorded as Pending Approval. Naming yourself as approver is refused.</t>
  </si>
  <si>
    <t xml:space="preserve">FIN-06</t>
  </si>
  <si>
    <t xml:space="preserve">The named approver is notified and can decide</t>
  </si>
  <si>
    <t xml:space="preserve">1. Sign in as the named approver.
2. Check notifications.
3. Open the request and approve it with a comment.
4. Check the project's approved budget.</t>
  </si>
  <si>
    <t xml:space="preserve">They are notified, can decide, and the approved budget changes. The decision and comment are recorded against them.</t>
  </si>
  <si>
    <t xml:space="preserve">FIN-07</t>
  </si>
  <si>
    <t xml:space="preserve">The requester is told the outcome</t>
  </si>
  <si>
    <t xml:space="preserve">1. Sign back in as the requester.
2. Check notifications.</t>
  </si>
  <si>
    <t xml:space="preserve">A notification reports the approval or rejection.</t>
  </si>
  <si>
    <t xml:space="preserve">FIN-08</t>
  </si>
  <si>
    <t xml:space="preserve">You cannot approve your own budget request</t>
  </si>
  <si>
    <t xml:space="preserve">1. As the requester, try to decide your own request.</t>
  </si>
  <si>
    <t xml:space="preserve">Refused.</t>
  </si>
  <si>
    <t xml:space="preserve">RES-01</t>
  </si>
  <si>
    <t xml:space="preserve">13. Resources</t>
  </si>
  <si>
    <t xml:space="preserve">Any with resources.view</t>
  </si>
  <si>
    <t xml:space="preserve">The resource directory lists people</t>
  </si>
  <si>
    <t xml:space="preserve">1. Open Resources.
2. Search for a person by name and by team.</t>
  </si>
  <si>
    <t xml:space="preserve">People are listed with role, team and login status, and both searches work.</t>
  </si>
  <si>
    <t xml:space="preserve">RES-02</t>
  </si>
  <si>
    <t xml:space="preserve">Any with resources.edit</t>
  </si>
  <si>
    <t xml:space="preserve">Add a resource without a login</t>
  </si>
  <si>
    <t xml:space="preserve">1. Add a person with a team, job title, working pattern and capacity.
2. Leave Login status as Not enabled.
3. Save.</t>
  </si>
  <si>
    <t xml:space="preserve">The person is created and can own tasks, without any ability to sign in.</t>
  </si>
  <si>
    <t xml:space="preserve">RES-03</t>
  </si>
  <si>
    <t xml:space="preserve">Contact details are restricted</t>
  </si>
  <si>
    <t xml:space="preserve">1. Sign in as a tester without resources.viewContact.
2. Open Resources.</t>
  </si>
  <si>
    <t xml:space="preserve">People are listed but email addresses are hidden or replaced with a note.</t>
  </si>
  <si>
    <t xml:space="preserve">RES-04</t>
  </si>
  <si>
    <t xml:space="preserve">A team manager sees their own team</t>
  </si>
  <si>
    <t xml:space="preserve">1. Sign in as the Resource Manager tester.
2. Open Resources.</t>
  </si>
  <si>
    <t xml:space="preserve">Only their own team's people are listed. Note in Feedback whether that is too narrow for the job.</t>
  </si>
  <si>
    <t xml:space="preserve">RES-05</t>
  </si>
  <si>
    <t xml:space="preserve">Additional roles can be added and removed</t>
  </si>
  <si>
    <t xml:space="preserve">1. Edit a person and add an additional role.
2. Read the helper line under the picker.
3. Save, reopen and remove it again.</t>
  </si>
  <si>
    <t xml:space="preserve">Both changes save, and the helper line updates as roles are chosen.</t>
  </si>
  <si>
    <t xml:space="preserve">RES-06</t>
  </si>
  <si>
    <t xml:space="preserve">An access change is recorded in the audit trail</t>
  </si>
  <si>
    <t xml:space="preserve">1. Change somebody's permission level or additional roles.
2. Open Audit History and find the change.</t>
  </si>
  <si>
    <t xml:space="preserve">The change is recorded with who made it, when, and what changed.</t>
  </si>
  <si>
    <t xml:space="preserve">RES-07</t>
  </si>
  <si>
    <t xml:space="preserve">Renaming a person updates it everywhere</t>
  </si>
  <si>
    <t xml:space="preserve">1. Change a person's full name.
2. Open a project they manage, a plan task they own and a RAID item they own.</t>
  </si>
  <si>
    <t xml:space="preserve">The new name appears in all of them.</t>
  </si>
  <si>
    <t xml:space="preserve">RES-08</t>
  </si>
  <si>
    <t xml:space="preserve">Deactivating a person keeps their history</t>
  </si>
  <si>
    <t xml:space="preserve">1. Set a person to Inactive.
2. Look at a task they owned.</t>
  </si>
  <si>
    <t xml:space="preserve">They no longer appear for new assignment but existing records still show them. Nothing is deleted.</t>
  </si>
  <si>
    <t xml:space="preserve">RSM-01</t>
  </si>
  <si>
    <t xml:space="preserve">14. Resource management</t>
  </si>
  <si>
    <t xml:space="preserve">Any with resourceManagement.view</t>
  </si>
  <si>
    <t xml:space="preserve">The allocation Gantt draws correctly</t>
  </si>
  <si>
    <t xml:space="preserve">1. Open Resource Management.
2. Look at the Gantt area.
3. Change the zoom between Week, Month, Quarter and Year.
4. Use Go to today and Expand Gantt.</t>
  </si>
  <si>
    <t xml:space="preserve">Resource rows, week or month columns and allocation bars are all visible and aligned. It must NOT be a single block of colour with the dates stacked vertically.</t>
  </si>
  <si>
    <t xml:space="preserve">RSM-02</t>
  </si>
  <si>
    <t xml:space="preserve">Utilisation and over-allocation are visible</t>
  </si>
  <si>
    <t xml:space="preserve">1. Find a resource allocated above the threshold.
2. Read the current, peak and over columns.</t>
  </si>
  <si>
    <t xml:space="preserve">Over-allocation is coloured distinctly, and the figures match the bars.</t>
  </si>
  <si>
    <t xml:space="preserve">RSM-03</t>
  </si>
  <si>
    <t xml:space="preserve">Any with resourceManagement.edit</t>
  </si>
  <si>
    <t xml:space="preserve">Create resource demand</t>
  </si>
  <si>
    <t xml:space="preserve">1. Add a demand row with a role, team, dates and a percentage.
2. Save.
3. Reload.</t>
  </si>
  <si>
    <t xml:space="preserve">The demand persists and appears on the Gantt.</t>
  </si>
  <si>
    <t xml:space="preserve">RSM-04</t>
  </si>
  <si>
    <t xml:space="preserve">Absence shows against a person</t>
  </si>
  <si>
    <t xml:space="preserve">1. Record an absence for a person in your team.
2. Look at their row on the Gantt.</t>
  </si>
  <si>
    <t xml:space="preserve">The absence is shown as unavailable time, and any assignment overlapping it is flagged.</t>
  </si>
  <si>
    <t xml:space="preserve">RSM-05</t>
  </si>
  <si>
    <t xml:space="preserve">The team manager is notified about absence and unfilled demand</t>
  </si>
  <si>
    <t xml:space="preserve">1. Sign in as the Resource Manager tester.
2. Check notifications.</t>
  </si>
  <si>
    <t xml:space="preserve">Notifications name absences awaiting review and unfilled high-priority demand for their team, and not for other teams.</t>
  </si>
  <si>
    <t xml:space="preserve">RSM-06</t>
  </si>
  <si>
    <t xml:space="preserve">Any with resourceManagement.publishScenario</t>
  </si>
  <si>
    <t xml:space="preserve">Publish a resource scenario</t>
  </si>
  <si>
    <t xml:space="preserve">1. Build a scenario across two projects.
2. Publish it.
3. Check the live demand.</t>
  </si>
  <si>
    <t xml:space="preserve">Publishing needs access to every project in the scenario and turns the scenario into live demand.</t>
  </si>
  <si>
    <t xml:space="preserve">RSM-07</t>
  </si>
  <si>
    <t xml:space="preserve">Saved Gantt views</t>
  </si>
  <si>
    <t xml:space="preserve">1. Set filters and zoom, then save the view.
2. Change everything, then reload the saved view.</t>
  </si>
  <si>
    <t xml:space="preserve">The view returns as saved. A personal view is not visible to others.</t>
  </si>
  <si>
    <t xml:space="preserve">RPT-01</t>
  </si>
  <si>
    <t xml:space="preserve">15. Reports and dashboards</t>
  </si>
  <si>
    <t xml:space="preserve">Any with reports.view</t>
  </si>
  <si>
    <t xml:space="preserve">Reports and dashboards load</t>
  </si>
  <si>
    <t xml:space="preserve">1. Open Reports &amp; Dashboards.
2. Wait for it to finish loading.
3. Scroll through every block.</t>
  </si>
  <si>
    <t xml:space="preserve">Charts, tables and metric cards all render with real figures. The page must not be an empty shell.</t>
  </si>
  <si>
    <t xml:space="preserve">RPT-02</t>
  </si>
  <si>
    <t xml:space="preserve">Metric cards drill down</t>
  </si>
  <si>
    <t xml:space="preserve">1. Select a metric card or a bar in a chart.</t>
  </si>
  <si>
    <t xml:space="preserve">A detail panel lists the records making up that figure, and they add up to it.</t>
  </si>
  <si>
    <t xml:space="preserve">RPT-03</t>
  </si>
  <si>
    <t xml:space="preserve">Figures agree with the underlying pages</t>
  </si>
  <si>
    <t xml:space="preserve">1. Pick one figure, for example projects at Red.
2. Count the same thing on the Projects page.</t>
  </si>
  <si>
    <t xml:space="preserve">The two agree. Any disagreement is a defect worth reporting in detail.</t>
  </si>
  <si>
    <t xml:space="preserve">RPT-04</t>
  </si>
  <si>
    <t xml:space="preserve">Any with reports.export</t>
  </si>
  <si>
    <t xml:space="preserve">Export to CSV</t>
  </si>
  <si>
    <t xml:space="preserve">1. Export a report to CSV.
2. Open it in Excel.</t>
  </si>
  <si>
    <t xml:space="preserve">The file opens with the same figures and readable column headings.</t>
  </si>
  <si>
    <t xml:space="preserve">RPT-05</t>
  </si>
  <si>
    <t xml:space="preserve">Export to PDF</t>
  </si>
  <si>
    <t xml:space="preserve">1. Produce a PDF report.
2. Open it.</t>
  </si>
  <si>
    <t xml:space="preserve">The PDF opens, is laid out sensibly and carries the same figures.</t>
  </si>
  <si>
    <t xml:space="preserve">RPT-06</t>
  </si>
  <si>
    <t xml:space="preserve">Any with views.publish</t>
  </si>
  <si>
    <t xml:space="preserve">Publish a saved view</t>
  </si>
  <si>
    <t xml:space="preserve">1. Save a report view, then publish it.
2. Sign in as another tester and look for it.</t>
  </si>
  <si>
    <t xml:space="preserve">The published view is visible to others; an unpublished one is not.</t>
  </si>
  <si>
    <t xml:space="preserve">RPT-07</t>
  </si>
  <si>
    <t xml:space="preserve">The executive view is useful</t>
  </si>
  <si>
    <t xml:space="preserve">1. Sign in as the Executive tester.
2. Open Reports &amp; Dashboards and Home.
3. Judge whether you could run a steering meeting from these two screens.</t>
  </si>
  <si>
    <t xml:space="preserve">Say plainly in Feedback what is missing for that purpose. This is a judgement test, not a pass/fail one.</t>
  </si>
  <si>
    <t xml:space="preserve">SCH-01</t>
  </si>
  <si>
    <t xml:space="preserve">16. Search</t>
  </si>
  <si>
    <t xml:space="preserve">Any with search.use</t>
  </si>
  <si>
    <t xml:space="preserve">Global search finds records across types</t>
  </si>
  <si>
    <t xml:space="preserve">1. Open Search.
2. Search for a word you know appears in a project, a RAID item and a task.</t>
  </si>
  <si>
    <t xml:space="preserve">Results are grouped by type and each links to the right record.</t>
  </si>
  <si>
    <t xml:space="preserve">SCH-02</t>
  </si>
  <si>
    <t xml:space="preserve">Search respects your access</t>
  </si>
  <si>
    <t xml:space="preserve">1. Search for something in a project outside your scope.</t>
  </si>
  <si>
    <t xml:space="preserve">It is not returned. Two testers with different scopes should get different results for the same search.</t>
  </si>
  <si>
    <t xml:space="preserve">SCH-03</t>
  </si>
  <si>
    <t xml:space="preserve">Recent and saved searches</t>
  </si>
  <si>
    <t xml:space="preserve">1. Run three searches.
2. Save one.
3. Reload the page.</t>
  </si>
  <si>
    <t xml:space="preserve">Recent searches are listed and the saved one can be rerun.</t>
  </si>
  <si>
    <t xml:space="preserve">AUD-01</t>
  </si>
  <si>
    <t xml:space="preserve">17. Audit history</t>
  </si>
  <si>
    <t xml:space="preserve">Any with audit.view</t>
  </si>
  <si>
    <t xml:space="preserve">Audit history opens and shows changes</t>
  </si>
  <si>
    <t xml:space="preserve">1. Open Audit History.
2. Find a change you made earlier today.</t>
  </si>
  <si>
    <t xml:space="preserve">The change is listed with who, when, what changed and where.</t>
  </si>
  <si>
    <t xml:space="preserve">AUD-02</t>
  </si>
  <si>
    <t xml:space="preserve">Every row says where it came from</t>
  </si>
  <si>
    <t xml:space="preserve">1. Look at the evidence or source column on several rows.</t>
  </si>
  <si>
    <t xml:space="preserve">Each row is labelled Verified, Legacy or Unverified. Verified rows are those the database recorded itself.</t>
  </si>
  <si>
    <t xml:space="preserve">AUD-03</t>
  </si>
  <si>
    <t xml:space="preserve">The history button works from the audit page</t>
  </si>
  <si>
    <t xml:space="preserve">1. Select the history button on an audit row.
2. Read the panel.</t>
  </si>
  <si>
    <t xml:space="preserve">A panel opens showing that record's change history with old and new values. It must not fail silently.</t>
  </si>
  <si>
    <t xml:space="preserve">AUD-04</t>
  </si>
  <si>
    <t xml:space="preserve">The audit trail cannot be edited</t>
  </si>
  <si>
    <t xml:space="preserve">1. Look for any way to change or delete an audit entry.</t>
  </si>
  <si>
    <t xml:space="preserve">There is none, at any permission level. The browser has no privilege to write it.</t>
  </si>
  <si>
    <t xml:space="preserve">AUD-05</t>
  </si>
  <si>
    <t xml:space="preserve">Filters make it usable</t>
  </si>
  <si>
    <t xml:space="preserve">1. Filter by project, by person and by date range.</t>
  </si>
  <si>
    <t xml:space="preserve">Each filter narrows the list correctly. Say in Feedback whether the filters you actually need are present.</t>
  </si>
  <si>
    <t xml:space="preserve">ADM-01</t>
  </si>
  <si>
    <t xml:space="preserve">18. Administration</t>
  </si>
  <si>
    <t xml:space="preserve">Any with administration.view</t>
  </si>
  <si>
    <t xml:space="preserve">Administration opens</t>
  </si>
  <si>
    <t xml:space="preserve">1. Open Administration.
2. Read each block.</t>
  </si>
  <si>
    <t xml:space="preserve">Lifecycle templates, mandatory rules, reference data, reporting calendars and periods, and RAG thresholds are all present and populated.</t>
  </si>
  <si>
    <t xml:space="preserve">ADM-02</t>
  </si>
  <si>
    <t xml:space="preserve">Any with administration.edit</t>
  </si>
  <si>
    <t xml:space="preserve">Edit reference data</t>
  </si>
  <si>
    <t xml:space="preserve">1. Add a value to a reference list, for example a project type.
2. Save.
3. Open a project form and find the new value.</t>
  </si>
  <si>
    <t xml:space="preserve">The new value is offered. A retired value still shows on records that already carry it.</t>
  </si>
  <si>
    <t xml:space="preserve">ADM-03</t>
  </si>
  <si>
    <t xml:space="preserve">Change RAG thresholds</t>
  </si>
  <si>
    <t xml:space="preserve">1. Change a RAG threshold.
2. Open a project and look at its calculated RAG.</t>
  </si>
  <si>
    <t xml:space="preserve">The calculated RAG reflects the new threshold. Reported values are unchanged until somebody reports them.</t>
  </si>
  <si>
    <t xml:space="preserve">ADM-04</t>
  </si>
  <si>
    <t xml:space="preserve">Lifecycle templates and mandatory rules</t>
  </si>
  <si>
    <t xml:space="preserve">1. Open a lifecycle template and its mandatory rules for a stage.
2. Add a mandatory field for a stage.
3. Open a project at that stage and check Lifecycle readiness.</t>
  </si>
  <si>
    <t xml:space="preserve">The new rule appears in the readiness check and blocks a gate submission until satisfied.</t>
  </si>
  <si>
    <t xml:space="preserve">ADM-05</t>
  </si>
  <si>
    <t xml:space="preserve">Reporting calendars and periods</t>
  </si>
  <si>
    <t xml:space="preserve">1. Review the reporting calendar and its periods.
2. Add a period.</t>
  </si>
  <si>
    <t xml:space="preserve">Periods are listed in order and the new one is offered when submitting a status report.</t>
  </si>
  <si>
    <t xml:space="preserve">ADM-06</t>
  </si>
  <si>
    <t xml:space="preserve">A portfolio manager cannot manage users</t>
  </si>
  <si>
    <t xml:space="preserve">1. Sign in as the Portfolio Manager tester.
2. Look for user administration.</t>
  </si>
  <si>
    <t xml:space="preserve">It is absent. users.manage is the one permission this role does not have, deliberately.</t>
  </si>
  <si>
    <t xml:space="preserve">NOT-01</t>
  </si>
  <si>
    <t xml:space="preserve">19. Notifications</t>
  </si>
  <si>
    <t xml:space="preserve">The notification bell shows only your work</t>
  </si>
  <si>
    <t xml:space="preserve">1. Open the bell.
2. Read every item.
3. Ask whether each is genuinely yours.</t>
  </si>
  <si>
    <t xml:space="preserve">Every item is something you own, approve or submitted. Nothing is there merely because your role could see it.</t>
  </si>
  <si>
    <t xml:space="preserve">NOT-02</t>
  </si>
  <si>
    <t xml:space="preserve">An overdue task notifies its owner</t>
  </si>
  <si>
    <t xml:space="preserve">1. Set a task you own to a forecast end date in the past.
2. Reload and open the bell.
3. Ask a tester who does not own it to check theirs.</t>
  </si>
  <si>
    <t xml:space="preserve">You are told; they are not.</t>
  </si>
  <si>
    <t xml:space="preserve">NOT-03</t>
  </si>
  <si>
    <t xml:space="preserve">An unassigned overdue task falls to the project manager</t>
  </si>
  <si>
    <t xml:space="preserve">1. Leave an overdue task with no owner.
2. Check the project manager's notifications.</t>
  </si>
  <si>
    <t xml:space="preserve">The project manager is told. Say in Feedback whether that is the right fallback.</t>
  </si>
  <si>
    <t xml:space="preserve">NOT-04</t>
  </si>
  <si>
    <t xml:space="preserve">Marking as read is personal</t>
  </si>
  <si>
    <t xml:space="preserve">1. Mark a notification read.
2. Reload.
3. Have another tester check the same underlying record.</t>
  </si>
  <si>
    <t xml:space="preserve">It stays read for you and is unaffected for them. The record itself is unchanged.</t>
  </si>
  <si>
    <t xml:space="preserve">NOT-05</t>
  </si>
  <si>
    <t xml:space="preserve">Severity and grouping are sensible</t>
  </si>
  <si>
    <t xml:space="preserve">1. With several notifications present, look at their order and grouping.</t>
  </si>
  <si>
    <t xml:space="preserve">Decisions awaiting you and overdue items come before informational ones. Say in Feedback whether the order matches your priorities.</t>
  </si>
  <si>
    <t xml:space="preserve">NOT-06</t>
  </si>
  <si>
    <t xml:space="preserve">Notification links land on the right record</t>
  </si>
  <si>
    <t xml:space="preserve">1. Select five different notifications in turn.</t>
  </si>
  <si>
    <t xml:space="preserve">Each opens the correct page with the correct record highlighted or selected.</t>
  </si>
  <si>
    <t xml:space="preserve">PRM-01</t>
  </si>
  <si>
    <t xml:space="preserve">20. Roles and permissions</t>
  </si>
  <si>
    <t xml:space="preserve">What System Administrator can and cannot do</t>
  </si>
  <si>
    <t xml:space="preserve">1. Sign in as the System Administrator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</si>
  <si>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Every page and every action, including user administration and Administration.</t>
  </si>
  <si>
    <t xml:space="preserve">PRM-02</t>
  </si>
  <si>
    <t xml:space="preserve">What Portfolio Manager / PMO Manager can and cannot do</t>
  </si>
  <si>
    <t xml:space="preserve">1. Sign in as the Portfolio Manager / PMO Manager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</si>
  <si>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Everything across the portfolio EXCEPT user administration.</t>
  </si>
  <si>
    <t xml:space="preserve">PRM-03</t>
  </si>
  <si>
    <t xml:space="preserve">What Project Manager can and cannot do</t>
  </si>
  <si>
    <t xml:space="preserve">1. Sign in as the Project Manager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</si>
  <si>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Maintain their assigned projects: plans, milestones, status, RAID, benefits, resource forecasts. Cannot approve gates, baselines or budgets.</t>
  </si>
  <si>
    <t xml:space="preserve">PRM-04</t>
  </si>
  <si>
    <t xml:space="preserve">What PMO Analyst can and cannot do</t>
  </si>
  <si>
    <t xml:space="preserve">1. Sign in as the PMO Analyst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</si>
  <si>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Portfolio-wide maintenance and reporting, but no approvals - the role exists to maintain data without self-approving.</t>
  </si>
  <si>
    <t xml:space="preserve">PRM-05</t>
  </si>
  <si>
    <t xml:space="preserve">What Project Sponsor / Project Lead can and cannot do</t>
  </si>
  <si>
    <t xml:space="preserve">1. Sign in as the Project Sponsor / Project Lead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</si>
  <si>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Review and approve their assigned projects: gates, rebaselines, budgets, status. Cannot edit project details or RAID.</t>
  </si>
  <si>
    <t xml:space="preserve">PRM-06</t>
  </si>
  <si>
    <t xml:space="preserve">What Resource Manager / Team Manager can and cannot do</t>
  </si>
  <si>
    <t xml:space="preserve">1. Sign in as the Resource Manager / Team Manager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</si>
  <si>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Their team's capacity, availability, demand and assignments. No project editing.</t>
  </si>
  <si>
    <t xml:space="preserve">PRM-07</t>
  </si>
  <si>
    <t xml:space="preserve">What Project Team Member can and cannot do</t>
  </si>
  <si>
    <t xml:space="preserve">1. Sign in as the Project Team Member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</si>
  <si>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View assigned projects; update only the tasks and actions they own. Financial RAG but not amounts.</t>
  </si>
  <si>
    <t xml:space="preserve">PRM-08</t>
  </si>
  <si>
    <t xml:space="preserve">What Executive / Steering User can and cannot do</t>
  </si>
  <si>
    <t xml:space="preserve">1. Sign in as the Executive / Steering User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</si>
  <si>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Read-only portfolio dashboards, reports and summaries, including budgets. No approvals unless given a second role.</t>
  </si>
  <si>
    <t xml:space="preserve">PRM-09</t>
  </si>
  <si>
    <t xml:space="preserve">What Read-only / Auditor can and cannot do</t>
  </si>
  <si>
    <t xml:space="preserve">1. Sign in as the Read-only / Auditor tester.
2. Visit every page in the navigation.
3. On each page, try the main actions: add, edit, save, submit, approve, export.
4. Record in Commentary anything you could do that you believe you should not, and anything you could not do that you needed to.
5. Compare with the permission matrix in the user guide.</t>
  </si>
  <si>
    <t xml:space="preserve">Look and export on their selected projects. Change nothing anywhere.</t>
  </si>
  <si>
    <t xml:space="preserve">PRM-10</t>
  </si>
  <si>
    <t xml:space="preserve">Submitting and approving are separate</t>
  </si>
  <si>
    <t xml:space="preserve">1. Have the Project Manager submit a gate and request a rebaseline and a budget change.
2. Try to approve each as the same person.
3. Then approve each as the sponsor.</t>
  </si>
  <si>
    <t xml:space="preserve">The submitter can never approve their own. The sponsor can. This separation must hold everywhere.</t>
  </si>
  <si>
    <t xml:space="preserve">PRM-11</t>
  </si>
  <si>
    <t xml:space="preserve">Two roles grant the sum of both</t>
  </si>
  <si>
    <t xml:space="preserve">1. Give a tester two roles.
2. Have them sign in and check what they can now do.
3. Remove the second role and repeat.</t>
  </si>
  <si>
    <t xml:space="preserve">With both roles they can do everything either role allows, and nothing is lost by adding a role. Removing it returns them to the first role's abilities.</t>
  </si>
  <si>
    <t xml:space="preserve">PRM-12</t>
  </si>
  <si>
    <t xml:space="preserve">A permission override works and is visible</t>
  </si>
  <si>
    <t xml:space="preserve">1. Give one tester a single permission override set to allow.
2. Have them confirm they can now do that one thing.
3. Set it to deny and confirm it is withdrawn.</t>
  </si>
  <si>
    <t xml:space="preserve">The override takes effect in both directions and beats the role either way.</t>
  </si>
  <si>
    <t xml:space="preserve">SCP-01</t>
  </si>
  <si>
    <t xml:space="preserve">21. Access scopes</t>
  </si>
  <si>
    <t xml:space="preserve">Portfolio-wide tester</t>
  </si>
  <si>
    <t xml:space="preserve">Portfolio-wide sees everything</t>
  </si>
  <si>
    <t xml:space="preserve">1. Sign in as the portfolio-wide tester.
2. Count the projects on the Projects page.</t>
  </si>
  <si>
    <t xml:space="preserve">Every project in the portfolio is listed.</t>
  </si>
  <si>
    <t xml:space="preserve">SCP-02</t>
  </si>
  <si>
    <t xml:space="preserve">Assigned-projects tester</t>
  </si>
  <si>
    <t xml:space="preserve">Assigned sees only projects they are named on</t>
  </si>
  <si>
    <t xml:space="preserve">1. Sign in as the assigned-projects tester.
2. Count the projects.
3. Compare with the projects they are actually named on.</t>
  </si>
  <si>
    <t xml:space="preserve">Exactly the projects where they are project manager, sponsor, lead or otherwise named. No others.</t>
  </si>
  <si>
    <t xml:space="preserve">SCP-03</t>
  </si>
  <si>
    <t xml:space="preserve">Being named grants access immediately</t>
  </si>
  <si>
    <t xml:space="preserve">1. As an administrator, name that tester as sponsor on a project they could not see.
2. Have them reload.</t>
  </si>
  <si>
    <t xml:space="preserve">The project now appears, without any permission change. This is the fix for 'a manager cannot see their project'.</t>
  </si>
  <si>
    <t xml:space="preserve">SCP-04</t>
  </si>
  <si>
    <t xml:space="preserve">Team-projects tester</t>
  </si>
  <si>
    <t xml:space="preserve">Team scope follows the team's work</t>
  </si>
  <si>
    <t xml:space="preserve">1. Sign in as the team-projects tester.
2. Count the projects and check why each is included.</t>
  </si>
  <si>
    <t xml:space="preserve">Projects appear where a teammate leads them, where demand is coded to the team, or where a teammate owns a plan task.</t>
  </si>
  <si>
    <t xml:space="preserve">SCP-05</t>
  </si>
  <si>
    <t xml:space="preserve">Selected-projects tester</t>
  </si>
  <si>
    <t xml:space="preserve">Selected sees only the named projects</t>
  </si>
  <si>
    <t xml:space="preserve">1. Sign in as the selected-projects tester.
2. Count the projects.</t>
  </si>
  <si>
    <t xml:space="preserve">Exactly the two projects named on their record, and nothing else.</t>
  </si>
  <si>
    <t xml:space="preserve">SCP-06</t>
  </si>
  <si>
    <t xml:space="preserve">Scope applies everywhere, not just the project list</t>
  </si>
  <si>
    <t xml:space="preserve">1. As a scoped tester, check Milestones, RAID, Registers, Financials, Reports and Search.</t>
  </si>
  <si>
    <t xml:space="preserve">Every page shows only records from projects within scope. A page that shows more is a defect worth reporting immediately.</t>
  </si>
  <si>
    <t xml:space="preserve">SCP-07</t>
  </si>
  <si>
    <t xml:space="preserve">A zero-result page is not an error</t>
  </si>
  <si>
    <t xml:space="preserve">1. As the selected-projects tester, open a page for a project outside scope by pasting its URL.</t>
  </si>
  <si>
    <t xml:space="preserve">You are refused or shown nothing, politely. The tool should not show an error suggesting something is broken.</t>
  </si>
  <si>
    <t xml:space="preserve">DAT-01</t>
  </si>
  <si>
    <t xml:space="preserve">22. Data and recovery</t>
  </si>
  <si>
    <t xml:space="preserve">Export a snapshot</t>
  </si>
  <si>
    <t xml:space="preserve">1. Find the data export or backup option.
2. Export.
3. Open the file.</t>
  </si>
  <si>
    <t xml:space="preserve">A file downloads. It should describe itself as a snapshot rather than a full backup.</t>
  </si>
  <si>
    <t xml:space="preserve">DAT-02</t>
  </si>
  <si>
    <t xml:space="preserve">Comparing a snapshot works</t>
  </si>
  <si>
    <t xml:space="preserve">1. Use the compare option against the file you exported.</t>
  </si>
  <si>
    <t xml:space="preserve">A comparison is shown rather than a restore being performed silently.</t>
  </si>
  <si>
    <t xml:space="preserve">DAT-03</t>
  </si>
  <si>
    <t xml:space="preserve">Restoring database-backed data is refused</t>
  </si>
  <si>
    <t xml:space="preserve">1. Attempt to restore the snapshot.</t>
  </si>
  <si>
    <t xml:space="preserve">Refused, with an explanation that the database is authoritative. This is correct behaviour, not a bug.</t>
  </si>
  <si>
    <t xml:space="preserve">DAT-04</t>
  </si>
  <si>
    <t xml:space="preserve">Nothing can be permanently deleted by a normal user</t>
  </si>
  <si>
    <t xml:space="preserve">1. Across projects, tasks, RAID, registers and people, look for a delete that removes a record outright.</t>
  </si>
  <si>
    <t xml:space="preserve">Removal is always an archive, a closure or a deactivation. Report anything that appears to delete outright.</t>
  </si>
  <si>
    <t xml:space="preserve">RGR-01</t>
  </si>
  <si>
    <t xml:space="preserve">23. Regression of recent fixes</t>
  </si>
  <si>
    <t xml:space="preserve">Data appears without searching first</t>
  </si>
  <si>
    <t xml:space="preserve">1. Sign in and visit Projects, Milestones, RAID Log, Registers and Financials in turn.
2. On each, do not type or filter anything.</t>
  </si>
  <si>
    <t xml:space="preserve">Every page shows its records straight away. This was broken and is the most important regression test in the pack.</t>
  </si>
  <si>
    <t xml:space="preserve">RGR-02</t>
  </si>
  <si>
    <t xml:space="preserve">The allocation Gantt is not a solid block</t>
  </si>
  <si>
    <t xml:space="preserve">1. Open Resource Management and look at the Gantt.</t>
  </si>
  <si>
    <t xml:space="preserve">Columns, rows and bars are all distinguishable. A single purple block with vertically stacked dates is the old fault.</t>
  </si>
  <si>
    <t xml:space="preserve">RGR-03</t>
  </si>
  <si>
    <t xml:space="preserve">No stray red lines on the project plan</t>
  </si>
  <si>
    <t xml:space="preserve">1. Open a project plan and look over the whole page and header.</t>
  </si>
  <si>
    <t xml:space="preserve">None. Dependency lines belong inside the timeline only.</t>
  </si>
  <si>
    <t xml:space="preserve">RGR-04</t>
  </si>
  <si>
    <t xml:space="preserve">Register and plan columns are not squashed</t>
  </si>
  <si>
    <t xml:space="preserve">1. Open the project plan and the registers.
2. Look at the column headings.</t>
  </si>
  <si>
    <t xml:space="preserve">Headings are on one line and not broken mid-word, for example 'Baseline Start' not 'BASELIN E START'.</t>
  </si>
  <si>
    <t xml:space="preserve">RGR-05</t>
  </si>
  <si>
    <t xml:space="preserve">Editing never navigates to Add project</t>
  </si>
  <si>
    <t xml:space="preserve">1. From the details page, select Edit project details, then Update project status, then Edit assurance evidence.
2. Also try the three quick links further down the page.
3. Watch the address bar each time.</t>
  </si>
  <si>
    <t xml:space="preserve">All six open a panel on the details page. None goes to add-project.html.</t>
  </si>
  <si>
    <t xml:space="preserve">RGR-06</t>
  </si>
  <si>
    <t xml:space="preserve">Editors open with fields enabled</t>
  </si>
  <si>
    <t xml:space="preserve">1. Open each of the three editors.
2. Try to type in several fields in each.</t>
  </si>
  <si>
    <t xml:space="preserve">Fields accept input. A form that opens entirely greyed out is the old permission fault.</t>
  </si>
  <si>
    <t xml:space="preserve">RGR-07</t>
  </si>
  <si>
    <t xml:space="preserve">Reports &amp; Dashboards is not an empty shell</t>
  </si>
  <si>
    <t xml:space="preserve">1. Open Reports &amp; Dashboards.
2. Wait five seconds.
3. Check the console with F12.</t>
  </si>
  <si>
    <t xml:space="preserve">Content renders and there is no failed-to-load error. This page was loading none of its own code.</t>
  </si>
  <si>
    <t xml:space="preserve">RGR-08</t>
  </si>
  <si>
    <t xml:space="preserve">The audit page history button works</t>
  </si>
  <si>
    <t xml:space="preserve">1. Open Audit History and select a history button.
2. Check the console.</t>
  </si>
  <si>
    <t xml:space="preserve">The panel opens and there is no error about PPMChangeLog.</t>
  </si>
  <si>
    <t xml:space="preserve">RGR-09</t>
  </si>
  <si>
    <t xml:space="preserve">No pop-in on any page</t>
  </si>
  <si>
    <t xml:space="preserve">1. Hard-refresh each page in turn and watch the first moment.</t>
  </si>
  <si>
    <t xml:space="preserve">You see the loading outline, then content. You should not see a complete but empty page.</t>
  </si>
  <si>
    <t xml:space="preserve">RGR-10</t>
  </si>
  <si>
    <t xml:space="preserve">No field heading looks like code</t>
  </si>
  <si>
    <t xml:space="preserve">1. Open all three project editors and scan every heading.</t>
  </si>
  <si>
    <t xml:space="preserve">All properly worded. 'proposedStartDate' or similar is the old fault.</t>
  </si>
  <si>
    <t xml:space="preserve">RGR-11</t>
  </si>
  <si>
    <t xml:space="preserve">RAG colours are the RAG colours</t>
  </si>
  <si>
    <t xml:space="preserve">1. In the status editor, set each RAG dimension to each value in turn.</t>
  </si>
  <si>
    <t xml:space="preserve">Green is green, amber amber, red red, Not Assessed grey. Purple for green was the old fault.</t>
  </si>
  <si>
    <t xml:space="preserve">RGR-12</t>
  </si>
  <si>
    <t xml:space="preserve">Multiple roles behave</t>
  </si>
  <si>
    <t xml:space="preserve">1. Confirm a two-role tester can do what both roles allow.
2. Confirm a single-role tester is unaffected.
3. Confirm scope did not narrow when the second role was added.</t>
  </si>
  <si>
    <t xml:space="preserve">All three hold.</t>
  </si>
  <si>
    <t xml:space="preserve">USE-01</t>
  </si>
  <si>
    <t xml:space="preserve">24. Usability and accessibility</t>
  </si>
  <si>
    <t xml:space="preserve">The tool is usable by keyboard alone</t>
  </si>
  <si>
    <t xml:space="preserve">1. Put the mouse aside.
2. Using Tab, Shift+Tab, Enter and Space, sign in, open a project, open an editor and save.</t>
  </si>
  <si>
    <t xml:space="preserve">Everything is reachable and the focused element is always visible. Note in Feedback anything unreachable.</t>
  </si>
  <si>
    <t xml:space="preserve">USE-02</t>
  </si>
  <si>
    <t xml:space="preserve">Collapsible sections behave</t>
  </si>
  <si>
    <t xml:space="preserve">1. On the project details page, collapse and expand sections, use Expand all and Collapse all.
2. Reload the page.</t>
  </si>
  <si>
    <t xml:space="preserve">Sections respond, and your open and closed choices are remembered.</t>
  </si>
  <si>
    <t xml:space="preserve">USE-03</t>
  </si>
  <si>
    <t xml:space="preserve">The tool works at a smaller window size</t>
  </si>
  <si>
    <t xml:space="preserve">1. Resize the browser to roughly half width.
2. Visit five pages.</t>
  </si>
  <si>
    <t xml:space="preserve">Layouts adapt and nothing important is cut off or unreachable. Note the pages that suffer most.</t>
  </si>
  <si>
    <t xml:space="preserve">USE-04</t>
  </si>
  <si>
    <t xml:space="preserve">Printing produces something sensible</t>
  </si>
  <si>
    <t xml:space="preserve">1. Print-preview a project details page and a report.</t>
  </si>
  <si>
    <t xml:space="preserve">The output is readable, without navigation or loading placeholders. Note in Feedback what you would want printed differently.</t>
  </si>
  <si>
    <t xml:space="preserve">USE-05</t>
  </si>
  <si>
    <t xml:space="preserve">Error messages are understandable</t>
  </si>
  <si>
    <t xml:space="preserve">1. Over the course of testing, collect every error or warning message you see.
2. For each, note whether it told you what to do next.</t>
  </si>
  <si>
    <t xml:space="preserve">Messages name the real cause and the next step. List any that confused you.</t>
  </si>
  <si>
    <t xml:space="preserve">USE-06</t>
  </si>
  <si>
    <t xml:space="preserve">Terminology matches how the business speaks</t>
  </si>
  <si>
    <t xml:space="preserve">1. Read the page names, field labels and button text across the tool.
2. List anything you would call something else.</t>
  </si>
  <si>
    <t xml:space="preserve">This is a judgement test. Detail matters more than a pass or fail here.</t>
  </si>
  <si>
    <t xml:space="preserve">USE-07</t>
  </si>
  <si>
    <t xml:space="preserve">Reduced motion is respected</t>
  </si>
  <si>
    <t xml:space="preserve">1. Turn on 'Reduce motion' in your operating system's accessibility settings.
2. Hard-refresh a page.</t>
  </si>
  <si>
    <t xml:space="preserve">The loading animation becomes static rather than moving. Content still loads.</t>
  </si>
  <si>
    <t xml:space="preserve">ROB-01</t>
  </si>
  <si>
    <t xml:space="preserve">25. Robustness</t>
  </si>
  <si>
    <t xml:space="preserve">A slow connection explains itself</t>
  </si>
  <si>
    <t xml:space="preserve">1. In F12 &gt; Network, set throttling to Slow 3G.
2. Hard-refresh a page and wait.</t>
  </si>
  <si>
    <t xml:space="preserve">The loading outline appears, and if it takes long enough a message explains the wait. It should never sit silently for ever.</t>
  </si>
  <si>
    <t xml:space="preserve">ROB-02</t>
  </si>
  <si>
    <t xml:space="preserve">Losing connection mid-save is handled</t>
  </si>
  <si>
    <t xml:space="preserve">1. Open an editor and change a field.
2. In F12 &gt; Network, set Offline.
3. Save.
4. Restore the connection and reload.</t>
  </si>
  <si>
    <t xml:space="preserve">You are told the save did not reach the database. Record in Commentary exactly what you saw and whether your change survived.</t>
  </si>
  <si>
    <t xml:space="preserve">ROB-03</t>
  </si>
  <si>
    <t xml:space="preserve">A stale tab does not overwrite newer data</t>
  </si>
  <si>
    <t xml:space="preserve">1. Open the same project in two tabs.
2. Change and save it in tab A.
3. In tab B, without reloading, change a different field and save.</t>
  </si>
  <si>
    <t xml:space="preserve">Tab B is refused with a message about the record having changed. Tab A's change is intact.</t>
  </si>
  <si>
    <t xml:space="preserve">ROB-04</t>
  </si>
  <si>
    <t xml:space="preserve">Pasting a URL for a record you cannot see</t>
  </si>
  <si>
    <t xml:space="preserve">1. Take a project details URL from another tester whose scope differs from yours.
2. Paste it into your browser.</t>
  </si>
  <si>
    <t xml:space="preserve">You are refused politely. You must not see the record.</t>
  </si>
  <si>
    <t xml:space="preserve">ROB-05</t>
  </si>
  <si>
    <t xml:space="preserve">The tool behaves in a second browser</t>
  </si>
  <si>
    <t xml:space="preserve">1. Repeat five core tests in a different browser, for example Edge if you used Chrome.</t>
  </si>
  <si>
    <t xml:space="preserve">Behaviour is the same. Record any difference and name the browser and version.</t>
  </si>
  <si>
    <t xml:space="preserve">UAT progress</t>
  </si>
  <si>
    <t xml:space="preserve">Every figure here is a formula over the 'UAT tests' sheet. It updates as testers fill it in.</t>
  </si>
  <si>
    <t xml:space="preserve">Overall</t>
  </si>
  <si>
    <t xml:space="preserve">Pass</t>
  </si>
  <si>
    <t xml:space="preserve">Fail</t>
  </si>
  <si>
    <t xml:space="preserve">Blocked</t>
  </si>
  <si>
    <t xml:space="preserve">Not applicable</t>
  </si>
  <si>
    <t xml:space="preserve">Not tested</t>
  </si>
  <si>
    <t xml:space="preserve">Total</t>
  </si>
  <si>
    <t xml:space="preserve">All areas</t>
  </si>
  <si>
    <t xml:space="preserve">Not yet recorded</t>
  </si>
  <si>
    <t xml:space="preserve">By area</t>
  </si>
  <si>
    <t xml:space="preserve">Tests</t>
  </si>
  <si>
    <t xml:space="preserve">What to do with this</t>
  </si>
  <si>
    <t xml:space="preserve">· Any Fail is a defect. Read its Commentary before deciding severity - some will be wording, some will be data loss.</t>
  </si>
  <si>
    <t xml:space="preserve">· Any Blocked means a prerequisite failed. Fix the prerequisite before re-running the section.</t>
  </si>
  <si>
    <t xml:space="preserve">· Read every Feedback cell, including the ones on tests that passed. That is where the design changes come from.</t>
  </si>
  <si>
    <t xml:space="preserve">· Areas 20 and 21 (roles and scopes) are the ones to take most seriously: getting those wrong shows somebody data they should not see.</t>
  </si>
  <si>
    <t xml:space="preserve">Anything you found that is not on the test list</t>
  </si>
  <si>
    <t xml:space="preserve">Tests we did not think to write are the most valuable thing to come out of a UAT week. One row per issue.</t>
  </si>
  <si>
    <t xml:space="preserve">#</t>
  </si>
  <si>
    <t xml:space="preserve">Raised by</t>
  </si>
  <si>
    <t xml:space="preserve">Page</t>
  </si>
  <si>
    <t xml:space="preserve">Role you were using</t>
  </si>
  <si>
    <t xml:space="preserve">What happened</t>
  </si>
  <si>
    <t xml:space="preserve">What you expected</t>
  </si>
  <si>
    <t xml:space="preserve">How to reproduce it</t>
  </si>
  <si>
    <t xml:space="preserve">Severity</t>
  </si>
  <si>
    <t xml:space="preserve">Console error (F12), if any</t>
  </si>
  <si>
    <t xml:space="preserve">1</t>
  </si>
  <si>
    <t xml:space="preserve">A Tester</t>
  </si>
  <si>
    <t xml:space="preserve">Project plan</t>
  </si>
  <si>
    <t xml:space="preserve">The timeline drew bars a week late at Quarter zoom</t>
  </si>
  <si>
    <t xml:space="preserve">Bars aligned to the dates in the table</t>
  </si>
  <si>
    <t xml:space="preserve">Open PRJ-00012 plan, switch zoom to Quarter</t>
  </si>
  <si>
    <t xml:space="preserve">Wrong data</t>
  </si>
</sst>
</file>

<file path=xl/styles.xml><?xml version="1.0" encoding="utf-8"?>
<styleSheet xmlns="http://schemas.openxmlformats.org/spreadsheetml/2006/main">
  <numFmts count="1">
    <numFmt numFmtId="164" formatCode="General"/>
  </numFmts>
  <fonts count="15">
    <font>
      <sz val="11"/>
      <color theme="1"/>
      <name val="Calibri"/>
      <family val="2"/>
      <charset val="1"/>
    </font>
    <font>
      <sz val="10"/>
      <name val="Arial"/>
      <family val="0"/>
    </font>
    <font>
      <sz val="10"/>
      <name val="Arial"/>
      <family val="0"/>
    </font>
    <font>
      <sz val="10"/>
      <name val="Arial"/>
      <family val="0"/>
    </font>
    <font>
      <b val="true"/>
      <sz val="17"/>
      <color rgb="FF5B294F"/>
      <name val="Arial"/>
      <family val="0"/>
      <charset val="1"/>
    </font>
    <font>
      <i val="true"/>
      <sz val="10"/>
      <color rgb="FF64748B"/>
      <name val="Arial"/>
      <family val="0"/>
      <charset val="1"/>
    </font>
    <font>
      <sz val="10.5"/>
      <name val="Arial"/>
      <family val="0"/>
      <charset val="1"/>
    </font>
    <font>
      <b val="true"/>
      <sz val="12"/>
      <color rgb="FF5B294F"/>
      <name val="Arial"/>
      <family val="0"/>
      <charset val="1"/>
    </font>
    <font>
      <b val="true"/>
      <sz val="14"/>
      <color rgb="FF5B294F"/>
      <name val="Arial"/>
      <family val="0"/>
      <charset val="1"/>
    </font>
    <font>
      <b val="true"/>
      <sz val="10"/>
      <color rgb="FFFFFFFF"/>
      <name val="Arial"/>
      <family val="0"/>
      <charset val="1"/>
    </font>
    <font>
      <i val="true"/>
      <sz val="10"/>
      <color rgb="FF94A3B8"/>
      <name val="Arial"/>
      <family val="0"/>
      <charset val="1"/>
    </font>
    <font>
      <b val="true"/>
      <sz val="11"/>
      <color rgb="FF5B294F"/>
      <name val="Arial"/>
      <family val="0"/>
      <charset val="1"/>
    </font>
    <font>
      <sz val="10"/>
      <name val="Arial"/>
      <family val="0"/>
      <charset val="1"/>
    </font>
    <font>
      <b val="true"/>
      <sz val="10"/>
      <name val="Arial"/>
      <family val="0"/>
      <charset val="1"/>
    </font>
    <font>
      <b val="true"/>
      <sz val="16"/>
      <color rgb="FF5B294F"/>
      <name val="Arial"/>
      <family val="0"/>
      <charset val="1"/>
    </font>
  </fonts>
  <fills count="4">
    <fill>
      <patternFill patternType="none"/>
    </fill>
    <fill>
      <patternFill patternType="gray125"/>
    </fill>
    <fill>
      <patternFill patternType="solid">
        <fgColor rgb="FF5B294F"/>
        <bgColor rgb="FF660066"/>
      </patternFill>
    </fill>
    <fill>
      <patternFill patternType="solid">
        <fgColor rgb="FFF1F5F9"/>
        <bgColor rgb="FFFFFFFF"/>
      </patternFill>
    </fill>
  </fills>
  <borders count="2">
    <border diagonalUp="false" diagonalDown="false">
      <left/>
      <right/>
      <top/>
      <bottom/>
      <diagonal/>
    </border>
    <border diagonalUp="false" diagonalDown="false">
      <left style="thin">
        <color rgb="FFDBE3EF"/>
      </left>
      <right style="thin">
        <color rgb="FFDBE3EF"/>
      </right>
      <top style="thin">
        <color rgb="FFDBE3EF"/>
      </top>
      <bottom style="thin">
        <color rgb="FFDBE3E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13" fillId="3" borderId="1" xfId="0" applyFont="true" applyBorder="true" applyAlignment="true" applyProtection="false">
      <alignment horizontal="general"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5B294F"/>
          <bgColor rgb="FF000000"/>
        </patternFill>
      </fill>
    </dxf>
    <dxf>
      <fill>
        <patternFill patternType="solid">
          <fgColor rgb="FFF1F5F9"/>
          <bgColor rgb="FF000000"/>
        </patternFill>
      </fill>
    </dxf>
    <dxf>
      <fill>
        <patternFill patternType="solid">
          <bgColor rgb="FF000000"/>
        </patternFill>
      </fill>
    </dxf>
    <dxf>
      <fill>
        <patternFill patternType="solid">
          <fgColor rgb="FFFFFFFF"/>
          <bgColor rgb="FF000000"/>
        </patternFill>
      </fill>
    </dxf>
    <dxf>
      <fill>
        <patternFill>
          <bgColor rgb="FFDCFCE7"/>
        </patternFill>
      </fill>
    </dxf>
    <dxf>
      <fill>
        <patternFill>
          <bgColor rgb="FFFEE2E2"/>
        </patternFill>
      </fill>
    </dxf>
    <dxf>
      <fill>
        <patternFill>
          <bgColor rgb="FFFEF3C7"/>
        </patternFill>
      </fill>
    </dxf>
    <dxf>
      <fill>
        <patternFill>
          <bgColor rgb="FFE2E8F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DBE3EF"/>
      <rgbColor rgb="FF000080"/>
      <rgbColor rgb="FFFF00FF"/>
      <rgbColor rgb="FFFFFF00"/>
      <rgbColor rgb="FF00FFFF"/>
      <rgbColor rgb="FF800080"/>
      <rgbColor rgb="FF800000"/>
      <rgbColor rgb="FF008080"/>
      <rgbColor rgb="FF0000FF"/>
      <rgbColor rgb="FF00CCFF"/>
      <rgbColor rgb="FFF1F5F9"/>
      <rgbColor rgb="FFE2E8F0"/>
      <rgbColor rgb="FFFFFF99"/>
      <rgbColor rgb="FF99CCFF"/>
      <rgbColor rgb="FFFF99CC"/>
      <rgbColor rgb="FFCC99FF"/>
      <rgbColor rgb="FFFEE2E2"/>
      <rgbColor rgb="FF3366FF"/>
      <rgbColor rgb="FF33CCCC"/>
      <rgbColor rgb="FF99CC00"/>
      <rgbColor rgb="FFFFCC00"/>
      <rgbColor rgb="FFFF9900"/>
      <rgbColor rgb="FFFF6600"/>
      <rgbColor rgb="FF64748B"/>
      <rgbColor rgb="FF94A3B8"/>
      <rgbColor rgb="FF003366"/>
      <rgbColor rgb="FF339966"/>
      <rgbColor rgb="FF003300"/>
      <rgbColor rgb="FF333300"/>
      <rgbColor rgb="FF993300"/>
      <rgbColor rgb="FF993366"/>
      <rgbColor rgb="FF333399"/>
      <rgbColor rgb="FF5B294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112"/>
  </cols>
  <sheetData>
    <row r="2" customFormat="false" ht="25.5" hidden="false" customHeight="true" outlineLevel="0" collapsed="false">
      <c r="B2" s="1" t="s">
        <v>0</v>
      </c>
    </row>
    <row r="3" customFormat="false" ht="15.75" hidden="false" customHeight="true" outlineLevel="0" collapsed="false">
      <c r="B3" s="2" t="s">
        <v>1</v>
      </c>
    </row>
    <row r="4" customFormat="false" ht="15" hidden="false" customHeight="false" outlineLevel="0" collapsed="false">
      <c r="B4" s="3"/>
    </row>
    <row r="5" customFormat="false" ht="21.75" hidden="false" customHeight="true" outlineLevel="0" collapsed="false">
      <c r="B5" s="4" t="s">
        <v>2</v>
      </c>
    </row>
    <row r="6" customFormat="false" ht="25.35" hidden="false" customHeight="false" outlineLevel="0" collapsed="false">
      <c r="B6" s="3" t="s">
        <v>3</v>
      </c>
    </row>
    <row r="7" customFormat="false" ht="15" hidden="false" customHeight="false" outlineLevel="0" collapsed="false">
      <c r="B7" s="3"/>
    </row>
    <row r="8" customFormat="false" ht="25.35" hidden="false" customHeight="false" outlineLevel="0" collapsed="false">
      <c r="B8" s="3" t="s">
        <v>4</v>
      </c>
    </row>
    <row r="9" customFormat="false" ht="15" hidden="false" customHeight="false" outlineLevel="0" collapsed="false">
      <c r="B9" s="3"/>
    </row>
    <row r="10" customFormat="false" ht="21.75" hidden="false" customHeight="true" outlineLevel="0" collapsed="false">
      <c r="B10" s="4" t="s">
        <v>5</v>
      </c>
    </row>
    <row r="11" customFormat="false" ht="15" hidden="false" customHeight="false" outlineLevel="0" collapsed="false">
      <c r="B11" s="3" t="s">
        <v>6</v>
      </c>
    </row>
    <row r="12" customFormat="false" ht="15" hidden="false" customHeight="false" outlineLevel="0" collapsed="false">
      <c r="B12" s="3" t="s">
        <v>7</v>
      </c>
    </row>
    <row r="13" customFormat="false" ht="15" hidden="false" customHeight="false" outlineLevel="0" collapsed="false">
      <c r="B13" s="3" t="s">
        <v>8</v>
      </c>
    </row>
    <row r="14" customFormat="false" ht="15" hidden="false" customHeight="false" outlineLevel="0" collapsed="false">
      <c r="B14" s="3" t="s">
        <v>9</v>
      </c>
    </row>
    <row r="15" customFormat="false" ht="15" hidden="false" customHeight="false" outlineLevel="0" collapsed="false">
      <c r="B15" s="3" t="s">
        <v>10</v>
      </c>
    </row>
    <row r="16" customFormat="false" ht="15" hidden="false" customHeight="false" outlineLevel="0" collapsed="false">
      <c r="B16" s="3" t="s">
        <v>11</v>
      </c>
    </row>
    <row r="17" customFormat="false" ht="15" hidden="false" customHeight="false" outlineLevel="0" collapsed="false">
      <c r="B17" s="3"/>
    </row>
    <row r="18" customFormat="false" ht="25.35" hidden="false" customHeight="false" outlineLevel="0" collapsed="false">
      <c r="B18" s="3" t="s">
        <v>12</v>
      </c>
    </row>
    <row r="19" customFormat="false" ht="25.35" hidden="false" customHeight="false" outlineLevel="0" collapsed="false">
      <c r="B19" s="3" t="s">
        <v>13</v>
      </c>
    </row>
    <row r="20" customFormat="false" ht="15" hidden="false" customHeight="false" outlineLevel="0" collapsed="false">
      <c r="B20" s="3"/>
    </row>
    <row r="21" customFormat="false" ht="21.75" hidden="false" customHeight="true" outlineLevel="0" collapsed="false">
      <c r="B21" s="4" t="s">
        <v>14</v>
      </c>
    </row>
    <row r="22" customFormat="false" ht="25.35" hidden="false" customHeight="false" outlineLevel="0" collapsed="false">
      <c r="B22" s="3" t="s">
        <v>15</v>
      </c>
    </row>
    <row r="23" customFormat="false" ht="15" hidden="false" customHeight="false" outlineLevel="0" collapsed="false">
      <c r="B23" s="3"/>
    </row>
    <row r="24" customFormat="false" ht="21.75" hidden="false" customHeight="true" outlineLevel="0" collapsed="false">
      <c r="B24" s="4" t="s">
        <v>16</v>
      </c>
    </row>
    <row r="25" customFormat="false" ht="25.35" hidden="false" customHeight="false" outlineLevel="0" collapsed="false">
      <c r="B25" s="3" t="s">
        <v>17</v>
      </c>
    </row>
    <row r="26" customFormat="false" ht="15" hidden="false" customHeight="false" outlineLevel="0" collapsed="false">
      <c r="B26" s="3"/>
    </row>
    <row r="27" customFormat="false" ht="21.75" hidden="false" customHeight="true" outlineLevel="0" collapsed="false">
      <c r="B27" s="4" t="s">
        <v>18</v>
      </c>
    </row>
    <row r="28" customFormat="false" ht="25.35" hidden="false" customHeight="false" outlineLevel="0" collapsed="false">
      <c r="B28" s="3" t="s">
        <v>19</v>
      </c>
    </row>
    <row r="29" customFormat="false" ht="15" hidden="false" customHeight="false" outlineLevel="0" collapsed="false">
      <c r="B29" s="3"/>
    </row>
    <row r="30" customFormat="false" ht="21.75" hidden="false" customHeight="true" outlineLevel="0" collapsed="false">
      <c r="B30" s="4" t="s">
        <v>20</v>
      </c>
    </row>
    <row r="31" customFormat="false" ht="37.3" hidden="false" customHeight="false" outlineLevel="0" collapsed="false">
      <c r="B31" s="3" t="s">
        <v>21</v>
      </c>
    </row>
    <row r="32" customFormat="false" ht="15" hidden="false" customHeight="false" outlineLevel="0" collapsed="false">
      <c r="B32" s="3"/>
    </row>
    <row r="33" customFormat="false" ht="21.75" hidden="false" customHeight="true" outlineLevel="0" collapsed="false">
      <c r="B33" s="4" t="s">
        <v>22</v>
      </c>
    </row>
    <row r="34" customFormat="false" ht="15" hidden="false" customHeight="false" outlineLevel="0" collapsed="false">
      <c r="B34" s="3"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2"/>
    <col collapsed="false" customWidth="true" hidden="false" outlineLevel="0" max="4" min="4" style="0" width="30"/>
    <col collapsed="false" customWidth="true" hidden="false" outlineLevel="0" max="5" min="5" style="0" width="26"/>
    <col collapsed="false" customWidth="true" hidden="false" outlineLevel="0" max="6" min="6" style="0" width="18"/>
    <col collapsed="false" customWidth="true" hidden="false" outlineLevel="0" max="7" min="7" style="0" width="22"/>
    <col collapsed="false" customWidth="true" hidden="false" outlineLevel="0" max="8" min="8" style="0" width="26"/>
  </cols>
  <sheetData>
    <row r="1" customFormat="false" ht="17.35" hidden="false" customHeight="false" outlineLevel="0" collapsed="false">
      <c r="A1" s="5" t="s">
        <v>24</v>
      </c>
    </row>
    <row r="2" customFormat="false" ht="27.75" hidden="false" customHeight="true" outlineLevel="0" collapsed="false">
      <c r="A2" s="6" t="s">
        <v>25</v>
      </c>
      <c r="B2" s="6"/>
      <c r="C2" s="6"/>
      <c r="D2" s="6"/>
      <c r="E2" s="6"/>
      <c r="F2" s="6"/>
      <c r="G2" s="6"/>
      <c r="H2" s="6"/>
    </row>
    <row r="4" customFormat="false" ht="30" hidden="false" customHeight="true" outlineLevel="0" collapsed="false">
      <c r="A4" s="7" t="s">
        <v>26</v>
      </c>
      <c r="B4" s="7" t="s">
        <v>27</v>
      </c>
      <c r="C4" s="7" t="s">
        <v>28</v>
      </c>
      <c r="D4" s="7" t="s">
        <v>29</v>
      </c>
      <c r="E4" s="7" t="s">
        <v>30</v>
      </c>
      <c r="F4" s="7" t="s">
        <v>31</v>
      </c>
      <c r="G4" s="7" t="s">
        <v>32</v>
      </c>
      <c r="H4" s="7" t="s">
        <v>33</v>
      </c>
    </row>
    <row r="5" customFormat="false" ht="23.85" hidden="false" customHeight="false" outlineLevel="0" collapsed="false">
      <c r="A5" s="8" t="s">
        <v>34</v>
      </c>
      <c r="B5" s="8" t="s">
        <v>35</v>
      </c>
      <c r="C5" s="8" t="s">
        <v>36</v>
      </c>
      <c r="D5" s="8" t="s">
        <v>37</v>
      </c>
      <c r="E5" s="8" t="s">
        <v>38</v>
      </c>
      <c r="F5" s="8" t="s">
        <v>39</v>
      </c>
      <c r="G5" s="8" t="s">
        <v>40</v>
      </c>
      <c r="H5" s="8" t="s">
        <v>41</v>
      </c>
    </row>
    <row r="6" customFormat="false" ht="15" hidden="false" customHeight="false" outlineLevel="0" collapsed="false">
      <c r="A6" s="9"/>
      <c r="B6" s="9"/>
      <c r="C6" s="9"/>
      <c r="D6" s="9"/>
      <c r="E6" s="9"/>
      <c r="F6" s="9"/>
      <c r="G6" s="9"/>
      <c r="H6" s="9"/>
    </row>
    <row r="7" customFormat="false" ht="15" hidden="false" customHeight="false" outlineLevel="0" collapsed="false">
      <c r="A7" s="9"/>
      <c r="B7" s="9"/>
      <c r="C7" s="9"/>
      <c r="D7" s="9"/>
      <c r="E7" s="9"/>
      <c r="F7" s="9"/>
      <c r="G7" s="9"/>
      <c r="H7" s="9"/>
    </row>
    <row r="8" customFormat="false" ht="15" hidden="false" customHeight="false" outlineLevel="0" collapsed="false">
      <c r="A8" s="9"/>
      <c r="B8" s="9"/>
      <c r="C8" s="9"/>
      <c r="D8" s="9"/>
      <c r="E8" s="9"/>
      <c r="F8" s="9"/>
      <c r="G8" s="9"/>
      <c r="H8" s="9"/>
    </row>
    <row r="9" customFormat="false" ht="15" hidden="false" customHeight="false" outlineLevel="0" collapsed="false">
      <c r="A9" s="9"/>
      <c r="B9" s="9"/>
      <c r="C9" s="9"/>
      <c r="D9" s="9"/>
      <c r="E9" s="9"/>
      <c r="F9" s="9"/>
      <c r="G9" s="9"/>
      <c r="H9" s="9"/>
    </row>
    <row r="10" customFormat="false" ht="15" hidden="false" customHeight="false" outlineLevel="0" collapsed="false">
      <c r="A10" s="9"/>
      <c r="B10" s="9"/>
      <c r="C10" s="9"/>
      <c r="D10" s="9"/>
      <c r="E10" s="9"/>
      <c r="F10" s="9"/>
      <c r="G10" s="9"/>
      <c r="H10" s="9"/>
    </row>
    <row r="11" customFormat="false" ht="15" hidden="false" customHeight="false" outlineLevel="0" collapsed="false">
      <c r="A11" s="9"/>
      <c r="B11" s="9"/>
      <c r="C11" s="9"/>
      <c r="D11" s="9"/>
      <c r="E11" s="9"/>
      <c r="F11" s="9"/>
      <c r="G11" s="9"/>
      <c r="H11" s="9"/>
    </row>
    <row r="12" customFormat="false" ht="15" hidden="false" customHeight="false" outlineLevel="0" collapsed="false">
      <c r="A12" s="9"/>
      <c r="B12" s="9"/>
      <c r="C12" s="9"/>
      <c r="D12" s="9"/>
      <c r="E12" s="9"/>
      <c r="F12" s="9"/>
      <c r="G12" s="9"/>
      <c r="H12" s="9"/>
    </row>
    <row r="13" customFormat="false" ht="15" hidden="false" customHeight="false" outlineLevel="0" collapsed="false">
      <c r="A13" s="9"/>
      <c r="B13" s="9"/>
      <c r="C13" s="9"/>
      <c r="D13" s="9"/>
      <c r="E13" s="9"/>
      <c r="F13" s="9"/>
      <c r="G13" s="9"/>
      <c r="H13" s="9"/>
    </row>
    <row r="14" customFormat="false" ht="15" hidden="false" customHeight="false" outlineLevel="0" collapsed="false">
      <c r="A14" s="9"/>
      <c r="B14" s="9"/>
      <c r="C14" s="9"/>
      <c r="D14" s="9"/>
      <c r="E14" s="9"/>
      <c r="F14" s="9"/>
      <c r="G14" s="9"/>
      <c r="H14" s="9"/>
    </row>
    <row r="15" customFormat="false" ht="15" hidden="false" customHeight="false" outlineLevel="0" collapsed="false">
      <c r="A15" s="9"/>
      <c r="B15" s="9"/>
      <c r="C15" s="9"/>
      <c r="D15" s="9"/>
      <c r="E15" s="9"/>
      <c r="F15" s="9"/>
      <c r="G15" s="9"/>
      <c r="H15" s="9"/>
    </row>
    <row r="16" customFormat="false" ht="15" hidden="false" customHeight="false" outlineLevel="0" collapsed="false">
      <c r="A16" s="9"/>
      <c r="B16" s="9"/>
      <c r="C16" s="9"/>
      <c r="D16" s="9"/>
      <c r="E16" s="9"/>
      <c r="F16" s="9"/>
      <c r="G16" s="9"/>
      <c r="H16" s="9"/>
    </row>
    <row r="17" customFormat="false" ht="15" hidden="false" customHeight="false" outlineLevel="0" collapsed="false">
      <c r="A17" s="9"/>
      <c r="B17" s="9"/>
      <c r="C17" s="9"/>
      <c r="D17" s="9"/>
      <c r="E17" s="9"/>
      <c r="F17" s="9"/>
      <c r="G17" s="9"/>
      <c r="H17" s="9"/>
    </row>
    <row r="18" customFormat="false" ht="15" hidden="false" customHeight="false" outlineLevel="0" collapsed="false">
      <c r="A18" s="9"/>
      <c r="B18" s="9"/>
      <c r="C18" s="9"/>
      <c r="D18" s="9"/>
      <c r="E18" s="9"/>
      <c r="F18" s="9"/>
      <c r="G18" s="9"/>
      <c r="H18" s="9"/>
    </row>
    <row r="19" customFormat="false" ht="15" hidden="false" customHeight="false" outlineLevel="0" collapsed="false">
      <c r="A19" s="9"/>
      <c r="B19" s="9"/>
      <c r="C19" s="9"/>
      <c r="D19" s="9"/>
      <c r="E19" s="9"/>
      <c r="F19" s="9"/>
      <c r="G19" s="9"/>
      <c r="H19" s="9"/>
    </row>
    <row r="20" customFormat="false" ht="15" hidden="false" customHeight="false" outlineLevel="0" collapsed="false">
      <c r="A20" s="9"/>
      <c r="B20" s="9"/>
      <c r="C20" s="9"/>
      <c r="D20" s="9"/>
      <c r="E20" s="9"/>
      <c r="F20" s="9"/>
      <c r="G20" s="9"/>
      <c r="H20" s="9"/>
    </row>
    <row r="21" customFormat="false" ht="15" hidden="false" customHeight="false" outlineLevel="0" collapsed="false">
      <c r="A21" s="9"/>
      <c r="B21" s="9"/>
      <c r="C21" s="9"/>
      <c r="D21" s="9"/>
      <c r="E21" s="9"/>
      <c r="F21" s="9"/>
      <c r="G21" s="9"/>
      <c r="H21" s="9"/>
    </row>
    <row r="24" customFormat="false" ht="15" hidden="false" customHeight="false" outlineLevel="0" collapsed="false">
      <c r="A24" s="10" t="s">
        <v>42</v>
      </c>
    </row>
    <row r="25" customFormat="false" ht="30" hidden="false" customHeight="true" outlineLevel="0" collapsed="false">
      <c r="A25" s="7" t="s">
        <v>43</v>
      </c>
      <c r="B25" s="7" t="s">
        <v>44</v>
      </c>
      <c r="C25" s="7" t="s">
        <v>45</v>
      </c>
    </row>
    <row r="26" customFormat="false" ht="15" hidden="false" customHeight="false" outlineLevel="0" collapsed="false">
      <c r="A26" s="11" t="s">
        <v>46</v>
      </c>
      <c r="B26" s="11" t="s">
        <v>47</v>
      </c>
      <c r="C26" s="11" t="s">
        <v>48</v>
      </c>
    </row>
    <row r="27" customFormat="false" ht="15" hidden="false" customHeight="false" outlineLevel="0" collapsed="false">
      <c r="A27" s="11" t="s">
        <v>49</v>
      </c>
      <c r="B27" s="11" t="s">
        <v>47</v>
      </c>
      <c r="C27" s="11" t="s">
        <v>50</v>
      </c>
    </row>
    <row r="28" customFormat="false" ht="15" hidden="false" customHeight="false" outlineLevel="0" collapsed="false">
      <c r="A28" s="11" t="s">
        <v>51</v>
      </c>
      <c r="B28" s="11" t="s">
        <v>47</v>
      </c>
      <c r="C28" s="11" t="s">
        <v>52</v>
      </c>
    </row>
    <row r="29" customFormat="false" ht="15" hidden="false" customHeight="false" outlineLevel="0" collapsed="false">
      <c r="A29" s="11" t="s">
        <v>37</v>
      </c>
      <c r="B29" s="11" t="s">
        <v>39</v>
      </c>
      <c r="C29" s="11" t="s">
        <v>53</v>
      </c>
    </row>
    <row r="30" customFormat="false" ht="15" hidden="false" customHeight="false" outlineLevel="0" collapsed="false">
      <c r="A30" s="11" t="s">
        <v>54</v>
      </c>
      <c r="B30" s="11" t="s">
        <v>39</v>
      </c>
      <c r="C30" s="11" t="s">
        <v>55</v>
      </c>
    </row>
    <row r="31" customFormat="false" ht="15" hidden="false" customHeight="false" outlineLevel="0" collapsed="false">
      <c r="A31" s="11" t="s">
        <v>56</v>
      </c>
      <c r="B31" s="11" t="s">
        <v>57</v>
      </c>
      <c r="C31" s="11" t="s">
        <v>58</v>
      </c>
    </row>
    <row r="32" customFormat="false" ht="15" hidden="false" customHeight="false" outlineLevel="0" collapsed="false">
      <c r="A32" s="11" t="s">
        <v>59</v>
      </c>
      <c r="B32" s="11" t="s">
        <v>60</v>
      </c>
      <c r="C32" s="11" t="s">
        <v>61</v>
      </c>
    </row>
    <row r="33" customFormat="false" ht="15" hidden="false" customHeight="false" outlineLevel="0" collapsed="false">
      <c r="A33" s="11" t="s">
        <v>62</v>
      </c>
      <c r="B33" s="11" t="s">
        <v>47</v>
      </c>
      <c r="C33" s="11" t="s">
        <v>61</v>
      </c>
    </row>
    <row r="34" customFormat="false" ht="15" hidden="false" customHeight="false" outlineLevel="0" collapsed="false">
      <c r="A34" s="11" t="s">
        <v>63</v>
      </c>
      <c r="B34" s="11" t="s">
        <v>39</v>
      </c>
      <c r="C34" s="11" t="s">
        <v>64</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8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26"/>
    <col collapsed="false" customWidth="true" hidden="false" outlineLevel="0" max="3" min="3" style="0" width="24"/>
    <col collapsed="false" customWidth="true" hidden="false" outlineLevel="0" max="4" min="4" style="0" width="10"/>
    <col collapsed="false" customWidth="true" hidden="false" outlineLevel="0" max="5" min="5" style="0" width="34"/>
    <col collapsed="false" customWidth="true" hidden="false" outlineLevel="0" max="6" min="6" style="0" width="62"/>
    <col collapsed="false" customWidth="true" hidden="false" outlineLevel="0" max="7" min="7" style="0" width="52"/>
    <col collapsed="false" customWidth="true" hidden="false" outlineLevel="0" max="8" min="8" style="0" width="15"/>
    <col collapsed="false" customWidth="true" hidden="false" outlineLevel="0" max="10" min="9" style="0" width="40"/>
    <col collapsed="false" customWidth="true" hidden="false" outlineLevel="0" max="11" min="11" style="0" width="14"/>
    <col collapsed="false" customWidth="true" hidden="false" outlineLevel="0" max="12" min="12" style="0" width="12"/>
  </cols>
  <sheetData>
    <row r="1" customFormat="false" ht="30" hidden="false" customHeight="true" outlineLevel="0" collapsed="false">
      <c r="A1" s="7" t="s">
        <v>65</v>
      </c>
      <c r="B1" s="7" t="s">
        <v>66</v>
      </c>
      <c r="C1" s="7" t="s">
        <v>67</v>
      </c>
      <c r="D1" s="7" t="s">
        <v>68</v>
      </c>
      <c r="E1" s="7" t="s">
        <v>69</v>
      </c>
      <c r="F1" s="7" t="s">
        <v>70</v>
      </c>
      <c r="G1" s="7" t="s">
        <v>71</v>
      </c>
      <c r="H1" s="7" t="s">
        <v>72</v>
      </c>
      <c r="I1" s="7" t="s">
        <v>73</v>
      </c>
      <c r="J1" s="7" t="s">
        <v>74</v>
      </c>
      <c r="K1" s="7" t="s">
        <v>75</v>
      </c>
      <c r="L1" s="7" t="s">
        <v>76</v>
      </c>
    </row>
    <row r="2" customFormat="false" ht="72.75" hidden="false" customHeight="true" outlineLevel="0" collapsed="false">
      <c r="A2" s="12" t="s">
        <v>77</v>
      </c>
      <c r="B2" s="13" t="s">
        <v>78</v>
      </c>
      <c r="C2" s="13" t="s">
        <v>46</v>
      </c>
      <c r="D2" s="13" t="s">
        <v>79</v>
      </c>
      <c r="E2" s="13" t="s">
        <v>80</v>
      </c>
      <c r="F2" s="13" t="s">
        <v>81</v>
      </c>
      <c r="G2" s="13" t="s">
        <v>82</v>
      </c>
      <c r="H2" s="13"/>
      <c r="I2" s="13"/>
      <c r="J2" s="13"/>
      <c r="K2" s="13"/>
      <c r="L2" s="13"/>
    </row>
    <row r="3" customFormat="false" ht="60" hidden="false" customHeight="true" outlineLevel="0" collapsed="false">
      <c r="A3" s="14" t="s">
        <v>83</v>
      </c>
      <c r="B3" s="11" t="s">
        <v>78</v>
      </c>
      <c r="C3" s="11" t="s">
        <v>46</v>
      </c>
      <c r="D3" s="11" t="s">
        <v>77</v>
      </c>
      <c r="E3" s="11" t="s">
        <v>84</v>
      </c>
      <c r="F3" s="11" t="s">
        <v>85</v>
      </c>
      <c r="G3" s="11" t="s">
        <v>86</v>
      </c>
      <c r="H3" s="11"/>
      <c r="I3" s="11"/>
      <c r="J3" s="11"/>
      <c r="K3" s="11"/>
      <c r="L3" s="11"/>
    </row>
    <row r="4" customFormat="false" ht="72.75" hidden="false" customHeight="true" outlineLevel="0" collapsed="false">
      <c r="A4" s="14" t="s">
        <v>87</v>
      </c>
      <c r="B4" s="11" t="s">
        <v>78</v>
      </c>
      <c r="C4" s="11" t="s">
        <v>46</v>
      </c>
      <c r="D4" s="11" t="s">
        <v>77</v>
      </c>
      <c r="E4" s="11" t="s">
        <v>88</v>
      </c>
      <c r="F4" s="11" t="s">
        <v>89</v>
      </c>
      <c r="G4" s="11" t="s">
        <v>90</v>
      </c>
      <c r="H4" s="11"/>
      <c r="I4" s="11"/>
      <c r="J4" s="11"/>
      <c r="K4" s="11"/>
      <c r="L4" s="11"/>
    </row>
    <row r="5" customFormat="false" ht="60" hidden="false" customHeight="true" outlineLevel="0" collapsed="false">
      <c r="A5" s="14" t="s">
        <v>91</v>
      </c>
      <c r="B5" s="11" t="s">
        <v>78</v>
      </c>
      <c r="C5" s="11" t="s">
        <v>46</v>
      </c>
      <c r="D5" s="11" t="s">
        <v>77</v>
      </c>
      <c r="E5" s="11" t="s">
        <v>92</v>
      </c>
      <c r="F5" s="11" t="s">
        <v>93</v>
      </c>
      <c r="G5" s="11" t="s">
        <v>94</v>
      </c>
      <c r="H5" s="11"/>
      <c r="I5" s="11"/>
      <c r="J5" s="11"/>
      <c r="K5" s="11"/>
      <c r="L5" s="11"/>
    </row>
    <row r="6" customFormat="false" ht="60" hidden="false" customHeight="true" outlineLevel="0" collapsed="false">
      <c r="A6" s="14" t="s">
        <v>95</v>
      </c>
      <c r="B6" s="11" t="s">
        <v>78</v>
      </c>
      <c r="C6" s="11" t="s">
        <v>46</v>
      </c>
      <c r="D6" s="11" t="s">
        <v>83</v>
      </c>
      <c r="E6" s="11" t="s">
        <v>96</v>
      </c>
      <c r="F6" s="11" t="s">
        <v>97</v>
      </c>
      <c r="G6" s="11" t="s">
        <v>98</v>
      </c>
      <c r="H6" s="11"/>
      <c r="I6" s="11"/>
      <c r="J6" s="11"/>
      <c r="K6" s="11"/>
      <c r="L6" s="11"/>
    </row>
    <row r="7" customFormat="false" ht="72.75" hidden="false" customHeight="true" outlineLevel="0" collapsed="false">
      <c r="A7" s="12" t="s">
        <v>99</v>
      </c>
      <c r="B7" s="13" t="s">
        <v>100</v>
      </c>
      <c r="C7" s="13" t="s">
        <v>101</v>
      </c>
      <c r="D7" s="13" t="s">
        <v>83</v>
      </c>
      <c r="E7" s="13" t="s">
        <v>102</v>
      </c>
      <c r="F7" s="13" t="s">
        <v>103</v>
      </c>
      <c r="G7" s="13" t="s">
        <v>104</v>
      </c>
      <c r="H7" s="13"/>
      <c r="I7" s="13"/>
      <c r="J7" s="13"/>
      <c r="K7" s="13"/>
      <c r="L7" s="13"/>
    </row>
    <row r="8" customFormat="false" ht="46.5" hidden="false" customHeight="true" outlineLevel="0" collapsed="false">
      <c r="A8" s="14" t="s">
        <v>105</v>
      </c>
      <c r="B8" s="11" t="s">
        <v>100</v>
      </c>
      <c r="C8" s="11" t="s">
        <v>101</v>
      </c>
      <c r="D8" s="11" t="s">
        <v>99</v>
      </c>
      <c r="E8" s="11" t="s">
        <v>106</v>
      </c>
      <c r="F8" s="11" t="s">
        <v>107</v>
      </c>
      <c r="G8" s="11" t="s">
        <v>108</v>
      </c>
      <c r="H8" s="11"/>
      <c r="I8" s="11"/>
      <c r="J8" s="11"/>
      <c r="K8" s="11"/>
      <c r="L8" s="11"/>
    </row>
    <row r="9" customFormat="false" ht="46.5" hidden="false" customHeight="true" outlineLevel="0" collapsed="false">
      <c r="A9" s="14" t="s">
        <v>109</v>
      </c>
      <c r="B9" s="11" t="s">
        <v>100</v>
      </c>
      <c r="C9" s="11" t="s">
        <v>101</v>
      </c>
      <c r="D9" s="11" t="s">
        <v>99</v>
      </c>
      <c r="E9" s="11" t="s">
        <v>110</v>
      </c>
      <c r="F9" s="11" t="s">
        <v>111</v>
      </c>
      <c r="G9" s="11" t="s">
        <v>112</v>
      </c>
      <c r="H9" s="11"/>
      <c r="I9" s="11"/>
      <c r="J9" s="11"/>
      <c r="K9" s="11"/>
      <c r="L9" s="11"/>
    </row>
    <row r="10" customFormat="false" ht="46.5" hidden="false" customHeight="true" outlineLevel="0" collapsed="false">
      <c r="A10" s="14" t="s">
        <v>113</v>
      </c>
      <c r="B10" s="11" t="s">
        <v>100</v>
      </c>
      <c r="C10" s="11" t="s">
        <v>101</v>
      </c>
      <c r="D10" s="11" t="s">
        <v>99</v>
      </c>
      <c r="E10" s="11" t="s">
        <v>114</v>
      </c>
      <c r="F10" s="11" t="s">
        <v>115</v>
      </c>
      <c r="G10" s="11" t="s">
        <v>116</v>
      </c>
      <c r="H10" s="11"/>
      <c r="I10" s="11"/>
      <c r="J10" s="11"/>
      <c r="K10" s="11"/>
      <c r="L10" s="11"/>
    </row>
    <row r="11" customFormat="false" ht="46.5" hidden="false" customHeight="true" outlineLevel="0" collapsed="false">
      <c r="A11" s="14" t="s">
        <v>117</v>
      </c>
      <c r="B11" s="11" t="s">
        <v>100</v>
      </c>
      <c r="C11" s="11" t="s">
        <v>101</v>
      </c>
      <c r="D11" s="11" t="s">
        <v>99</v>
      </c>
      <c r="E11" s="11" t="s">
        <v>118</v>
      </c>
      <c r="F11" s="11" t="s">
        <v>119</v>
      </c>
      <c r="G11" s="11" t="s">
        <v>120</v>
      </c>
      <c r="H11" s="11"/>
      <c r="I11" s="11"/>
      <c r="J11" s="11"/>
      <c r="K11" s="11"/>
      <c r="L11" s="11"/>
    </row>
    <row r="12" customFormat="false" ht="46.5" hidden="false" customHeight="true" outlineLevel="0" collapsed="false">
      <c r="A12" s="14" t="s">
        <v>121</v>
      </c>
      <c r="B12" s="11" t="s">
        <v>100</v>
      </c>
      <c r="C12" s="11" t="s">
        <v>101</v>
      </c>
      <c r="D12" s="11" t="s">
        <v>99</v>
      </c>
      <c r="E12" s="11" t="s">
        <v>122</v>
      </c>
      <c r="F12" s="11" t="s">
        <v>123</v>
      </c>
      <c r="G12" s="11" t="s">
        <v>124</v>
      </c>
      <c r="H12" s="11"/>
      <c r="I12" s="11"/>
      <c r="J12" s="11"/>
      <c r="K12" s="11"/>
      <c r="L12" s="11"/>
    </row>
    <row r="13" customFormat="false" ht="46.5" hidden="false" customHeight="true" outlineLevel="0" collapsed="false">
      <c r="A13" s="14" t="s">
        <v>125</v>
      </c>
      <c r="B13" s="11" t="s">
        <v>100</v>
      </c>
      <c r="C13" s="11" t="s">
        <v>46</v>
      </c>
      <c r="D13" s="11" t="s">
        <v>83</v>
      </c>
      <c r="E13" s="11" t="s">
        <v>126</v>
      </c>
      <c r="F13" s="11" t="s">
        <v>127</v>
      </c>
      <c r="G13" s="11" t="s">
        <v>128</v>
      </c>
      <c r="H13" s="11"/>
      <c r="I13" s="11"/>
      <c r="J13" s="11"/>
      <c r="K13" s="11"/>
      <c r="L13" s="11"/>
    </row>
    <row r="14" customFormat="false" ht="46.5" hidden="false" customHeight="true" outlineLevel="0" collapsed="false">
      <c r="A14" s="14" t="s">
        <v>129</v>
      </c>
      <c r="B14" s="11" t="s">
        <v>100</v>
      </c>
      <c r="C14" s="11" t="s">
        <v>101</v>
      </c>
      <c r="D14" s="11" t="s">
        <v>79</v>
      </c>
      <c r="E14" s="11" t="s">
        <v>130</v>
      </c>
      <c r="F14" s="11" t="s">
        <v>131</v>
      </c>
      <c r="G14" s="11" t="s">
        <v>132</v>
      </c>
      <c r="H14" s="11"/>
      <c r="I14" s="11"/>
      <c r="J14" s="11"/>
      <c r="K14" s="11"/>
      <c r="L14" s="11"/>
    </row>
    <row r="15" customFormat="false" ht="46.5" hidden="false" customHeight="true" outlineLevel="0" collapsed="false">
      <c r="A15" s="14" t="s">
        <v>133</v>
      </c>
      <c r="B15" s="11" t="s">
        <v>100</v>
      </c>
      <c r="C15" s="11" t="s">
        <v>101</v>
      </c>
      <c r="D15" s="11" t="s">
        <v>99</v>
      </c>
      <c r="E15" s="11" t="s">
        <v>134</v>
      </c>
      <c r="F15" s="11" t="s">
        <v>135</v>
      </c>
      <c r="G15" s="11" t="s">
        <v>136</v>
      </c>
      <c r="H15" s="11"/>
      <c r="I15" s="11"/>
      <c r="J15" s="11"/>
      <c r="K15" s="11"/>
      <c r="L15" s="11"/>
    </row>
    <row r="16" customFormat="false" ht="46.5" hidden="false" customHeight="true" outlineLevel="0" collapsed="false">
      <c r="A16" s="12" t="s">
        <v>137</v>
      </c>
      <c r="B16" s="13" t="s">
        <v>138</v>
      </c>
      <c r="C16" s="13" t="s">
        <v>101</v>
      </c>
      <c r="D16" s="13" t="s">
        <v>105</v>
      </c>
      <c r="E16" s="13" t="s">
        <v>139</v>
      </c>
      <c r="F16" s="13" t="s">
        <v>140</v>
      </c>
      <c r="G16" s="13" t="s">
        <v>141</v>
      </c>
      <c r="H16" s="13"/>
      <c r="I16" s="13"/>
      <c r="J16" s="13"/>
      <c r="K16" s="13"/>
      <c r="L16" s="13"/>
    </row>
    <row r="17" customFormat="false" ht="46.5" hidden="false" customHeight="true" outlineLevel="0" collapsed="false">
      <c r="A17" s="14" t="s">
        <v>142</v>
      </c>
      <c r="B17" s="11" t="s">
        <v>138</v>
      </c>
      <c r="C17" s="11" t="s">
        <v>101</v>
      </c>
      <c r="D17" s="11" t="s">
        <v>137</v>
      </c>
      <c r="E17" s="11" t="s">
        <v>143</v>
      </c>
      <c r="F17" s="11" t="s">
        <v>144</v>
      </c>
      <c r="G17" s="11" t="s">
        <v>145</v>
      </c>
      <c r="H17" s="11"/>
      <c r="I17" s="11"/>
      <c r="J17" s="11"/>
      <c r="K17" s="11"/>
      <c r="L17" s="11"/>
    </row>
    <row r="18" customFormat="false" ht="60" hidden="false" customHeight="true" outlineLevel="0" collapsed="false">
      <c r="A18" s="14" t="s">
        <v>146</v>
      </c>
      <c r="B18" s="11" t="s">
        <v>138</v>
      </c>
      <c r="C18" s="11" t="s">
        <v>101</v>
      </c>
      <c r="D18" s="11" t="s">
        <v>105</v>
      </c>
      <c r="E18" s="11" t="s">
        <v>147</v>
      </c>
      <c r="F18" s="11" t="s">
        <v>148</v>
      </c>
      <c r="G18" s="11" t="s">
        <v>149</v>
      </c>
      <c r="H18" s="11"/>
      <c r="I18" s="11"/>
      <c r="J18" s="11"/>
      <c r="K18" s="11"/>
      <c r="L18" s="11"/>
    </row>
    <row r="19" customFormat="false" ht="46.5" hidden="false" customHeight="true" outlineLevel="0" collapsed="false">
      <c r="A19" s="14" t="s">
        <v>150</v>
      </c>
      <c r="B19" s="11" t="s">
        <v>138</v>
      </c>
      <c r="C19" s="11" t="s">
        <v>101</v>
      </c>
      <c r="D19" s="11" t="s">
        <v>105</v>
      </c>
      <c r="E19" s="11" t="s">
        <v>151</v>
      </c>
      <c r="F19" s="11" t="s">
        <v>152</v>
      </c>
      <c r="G19" s="11" t="s">
        <v>153</v>
      </c>
      <c r="H19" s="11"/>
      <c r="I19" s="11"/>
      <c r="J19" s="11"/>
      <c r="K19" s="11"/>
      <c r="L19" s="11"/>
    </row>
    <row r="20" customFormat="false" ht="46.5" hidden="false" customHeight="true" outlineLevel="0" collapsed="false">
      <c r="A20" s="14" t="s">
        <v>154</v>
      </c>
      <c r="B20" s="11" t="s">
        <v>138</v>
      </c>
      <c r="C20" s="11" t="s">
        <v>101</v>
      </c>
      <c r="D20" s="11" t="s">
        <v>105</v>
      </c>
      <c r="E20" s="11" t="s">
        <v>155</v>
      </c>
      <c r="F20" s="11" t="s">
        <v>156</v>
      </c>
      <c r="G20" s="11" t="s">
        <v>157</v>
      </c>
      <c r="H20" s="11"/>
      <c r="I20" s="11"/>
      <c r="J20" s="11"/>
      <c r="K20" s="11"/>
      <c r="L20" s="11"/>
    </row>
    <row r="21" customFormat="false" ht="46.5" hidden="false" customHeight="true" outlineLevel="0" collapsed="false">
      <c r="A21" s="14" t="s">
        <v>158</v>
      </c>
      <c r="B21" s="11" t="s">
        <v>138</v>
      </c>
      <c r="C21" s="11" t="s">
        <v>101</v>
      </c>
      <c r="D21" s="11" t="s">
        <v>105</v>
      </c>
      <c r="E21" s="11" t="s">
        <v>159</v>
      </c>
      <c r="F21" s="11" t="s">
        <v>160</v>
      </c>
      <c r="G21" s="11" t="s">
        <v>161</v>
      </c>
      <c r="H21" s="11"/>
      <c r="I21" s="11"/>
      <c r="J21" s="11"/>
      <c r="K21" s="11"/>
      <c r="L21" s="11"/>
    </row>
    <row r="22" customFormat="false" ht="46.5" hidden="false" customHeight="true" outlineLevel="0" collapsed="false">
      <c r="A22" s="12" t="s">
        <v>162</v>
      </c>
      <c r="B22" s="13" t="s">
        <v>163</v>
      </c>
      <c r="C22" s="13" t="s">
        <v>164</v>
      </c>
      <c r="D22" s="13" t="s">
        <v>105</v>
      </c>
      <c r="E22" s="13" t="s">
        <v>165</v>
      </c>
      <c r="F22" s="13" t="s">
        <v>166</v>
      </c>
      <c r="G22" s="13" t="s">
        <v>167</v>
      </c>
      <c r="H22" s="13"/>
      <c r="I22" s="13"/>
      <c r="J22" s="13"/>
      <c r="K22" s="13"/>
      <c r="L22" s="13"/>
    </row>
    <row r="23" customFormat="false" ht="46.5" hidden="false" customHeight="true" outlineLevel="0" collapsed="false">
      <c r="A23" s="14" t="s">
        <v>168</v>
      </c>
      <c r="B23" s="11" t="s">
        <v>163</v>
      </c>
      <c r="C23" s="11" t="s">
        <v>164</v>
      </c>
      <c r="D23" s="11" t="s">
        <v>162</v>
      </c>
      <c r="E23" s="11" t="s">
        <v>169</v>
      </c>
      <c r="F23" s="11" t="s">
        <v>170</v>
      </c>
      <c r="G23" s="11" t="s">
        <v>171</v>
      </c>
      <c r="H23" s="11"/>
      <c r="I23" s="11"/>
      <c r="J23" s="11"/>
      <c r="K23" s="11"/>
      <c r="L23" s="11"/>
    </row>
    <row r="24" customFormat="false" ht="46.5" hidden="false" customHeight="true" outlineLevel="0" collapsed="false">
      <c r="A24" s="14" t="s">
        <v>172</v>
      </c>
      <c r="B24" s="11" t="s">
        <v>163</v>
      </c>
      <c r="C24" s="11" t="s">
        <v>164</v>
      </c>
      <c r="D24" s="11" t="s">
        <v>162</v>
      </c>
      <c r="E24" s="11" t="s">
        <v>173</v>
      </c>
      <c r="F24" s="11" t="s">
        <v>174</v>
      </c>
      <c r="G24" s="11" t="s">
        <v>175</v>
      </c>
      <c r="H24" s="11"/>
      <c r="I24" s="11"/>
      <c r="J24" s="11"/>
      <c r="K24" s="11"/>
      <c r="L24" s="11"/>
    </row>
    <row r="25" customFormat="false" ht="60" hidden="false" customHeight="true" outlineLevel="0" collapsed="false">
      <c r="A25" s="14" t="s">
        <v>176</v>
      </c>
      <c r="B25" s="11" t="s">
        <v>163</v>
      </c>
      <c r="C25" s="11" t="s">
        <v>37</v>
      </c>
      <c r="D25" s="11" t="s">
        <v>162</v>
      </c>
      <c r="E25" s="11" t="s">
        <v>177</v>
      </c>
      <c r="F25" s="11" t="s">
        <v>178</v>
      </c>
      <c r="G25" s="11" t="s">
        <v>179</v>
      </c>
      <c r="H25" s="11"/>
      <c r="I25" s="11"/>
      <c r="J25" s="11"/>
      <c r="K25" s="11"/>
      <c r="L25" s="11"/>
    </row>
    <row r="26" customFormat="false" ht="46.5" hidden="false" customHeight="true" outlineLevel="0" collapsed="false">
      <c r="A26" s="14" t="s">
        <v>180</v>
      </c>
      <c r="B26" s="11" t="s">
        <v>163</v>
      </c>
      <c r="C26" s="11" t="s">
        <v>37</v>
      </c>
      <c r="D26" s="11" t="s">
        <v>176</v>
      </c>
      <c r="E26" s="11" t="s">
        <v>181</v>
      </c>
      <c r="F26" s="11" t="s">
        <v>182</v>
      </c>
      <c r="G26" s="11" t="s">
        <v>183</v>
      </c>
      <c r="H26" s="11"/>
      <c r="I26" s="11"/>
      <c r="J26" s="11"/>
      <c r="K26" s="11"/>
      <c r="L26" s="11"/>
    </row>
    <row r="27" customFormat="false" ht="46.5" hidden="false" customHeight="true" outlineLevel="0" collapsed="false">
      <c r="A27" s="14" t="s">
        <v>184</v>
      </c>
      <c r="B27" s="11" t="s">
        <v>163</v>
      </c>
      <c r="C27" s="11" t="s">
        <v>37</v>
      </c>
      <c r="D27" s="11" t="s">
        <v>176</v>
      </c>
      <c r="E27" s="11" t="s">
        <v>185</v>
      </c>
      <c r="F27" s="11" t="s">
        <v>186</v>
      </c>
      <c r="G27" s="11" t="s">
        <v>187</v>
      </c>
      <c r="H27" s="11"/>
      <c r="I27" s="11"/>
      <c r="J27" s="11"/>
      <c r="K27" s="11"/>
      <c r="L27" s="11"/>
    </row>
    <row r="28" customFormat="false" ht="46.5" hidden="false" customHeight="true" outlineLevel="0" collapsed="false">
      <c r="A28" s="14" t="s">
        <v>188</v>
      </c>
      <c r="B28" s="11" t="s">
        <v>163</v>
      </c>
      <c r="C28" s="11" t="s">
        <v>189</v>
      </c>
      <c r="D28" s="11" t="s">
        <v>176</v>
      </c>
      <c r="E28" s="11" t="s">
        <v>190</v>
      </c>
      <c r="F28" s="11" t="s">
        <v>191</v>
      </c>
      <c r="G28" s="11" t="s">
        <v>192</v>
      </c>
      <c r="H28" s="11"/>
      <c r="I28" s="11"/>
      <c r="J28" s="11"/>
      <c r="K28" s="11"/>
      <c r="L28" s="11"/>
    </row>
    <row r="29" customFormat="false" ht="46.5" hidden="false" customHeight="true" outlineLevel="0" collapsed="false">
      <c r="A29" s="14" t="s">
        <v>193</v>
      </c>
      <c r="B29" s="11" t="s">
        <v>163</v>
      </c>
      <c r="C29" s="11" t="s">
        <v>189</v>
      </c>
      <c r="D29" s="11" t="s">
        <v>188</v>
      </c>
      <c r="E29" s="11" t="s">
        <v>194</v>
      </c>
      <c r="F29" s="11" t="s">
        <v>195</v>
      </c>
      <c r="G29" s="11" t="s">
        <v>196</v>
      </c>
      <c r="H29" s="11"/>
      <c r="I29" s="11"/>
      <c r="J29" s="11"/>
      <c r="K29" s="11"/>
      <c r="L29" s="11"/>
    </row>
    <row r="30" customFormat="false" ht="46.5" hidden="false" customHeight="true" outlineLevel="0" collapsed="false">
      <c r="A30" s="14" t="s">
        <v>197</v>
      </c>
      <c r="B30" s="11" t="s">
        <v>163</v>
      </c>
      <c r="C30" s="11" t="s">
        <v>189</v>
      </c>
      <c r="D30" s="11" t="s">
        <v>188</v>
      </c>
      <c r="E30" s="11" t="s">
        <v>198</v>
      </c>
      <c r="F30" s="11" t="s">
        <v>199</v>
      </c>
      <c r="G30" s="11" t="s">
        <v>200</v>
      </c>
      <c r="H30" s="11"/>
      <c r="I30" s="11"/>
      <c r="J30" s="11"/>
      <c r="K30" s="11"/>
      <c r="L30" s="11"/>
    </row>
    <row r="31" customFormat="false" ht="46.5" hidden="false" customHeight="true" outlineLevel="0" collapsed="false">
      <c r="A31" s="14" t="s">
        <v>201</v>
      </c>
      <c r="B31" s="11" t="s">
        <v>163</v>
      </c>
      <c r="C31" s="11" t="s">
        <v>189</v>
      </c>
      <c r="D31" s="11" t="s">
        <v>188</v>
      </c>
      <c r="E31" s="11" t="s">
        <v>202</v>
      </c>
      <c r="F31" s="11" t="s">
        <v>203</v>
      </c>
      <c r="G31" s="11" t="s">
        <v>204</v>
      </c>
      <c r="H31" s="11"/>
      <c r="I31" s="11"/>
      <c r="J31" s="11"/>
      <c r="K31" s="11"/>
      <c r="L31" s="11"/>
    </row>
    <row r="32" customFormat="false" ht="46.5" hidden="false" customHeight="true" outlineLevel="0" collapsed="false">
      <c r="A32" s="12" t="s">
        <v>205</v>
      </c>
      <c r="B32" s="13" t="s">
        <v>206</v>
      </c>
      <c r="C32" s="13" t="s">
        <v>207</v>
      </c>
      <c r="D32" s="13" t="s">
        <v>162</v>
      </c>
      <c r="E32" s="13" t="s">
        <v>208</v>
      </c>
      <c r="F32" s="13" t="s">
        <v>209</v>
      </c>
      <c r="G32" s="13" t="s">
        <v>210</v>
      </c>
      <c r="H32" s="13"/>
      <c r="I32" s="13"/>
      <c r="J32" s="13"/>
      <c r="K32" s="13"/>
      <c r="L32" s="13"/>
    </row>
    <row r="33" customFormat="false" ht="46.5" hidden="false" customHeight="true" outlineLevel="0" collapsed="false">
      <c r="A33" s="14" t="s">
        <v>211</v>
      </c>
      <c r="B33" s="11" t="s">
        <v>206</v>
      </c>
      <c r="C33" s="11" t="s">
        <v>207</v>
      </c>
      <c r="D33" s="11" t="s">
        <v>205</v>
      </c>
      <c r="E33" s="11" t="s">
        <v>212</v>
      </c>
      <c r="F33" s="11" t="s">
        <v>213</v>
      </c>
      <c r="G33" s="11" t="s">
        <v>214</v>
      </c>
      <c r="H33" s="11"/>
      <c r="I33" s="11"/>
      <c r="J33" s="11"/>
      <c r="K33" s="11"/>
      <c r="L33" s="11"/>
    </row>
    <row r="34" customFormat="false" ht="46.5" hidden="false" customHeight="true" outlineLevel="0" collapsed="false">
      <c r="A34" s="14" t="s">
        <v>215</v>
      </c>
      <c r="B34" s="11" t="s">
        <v>206</v>
      </c>
      <c r="C34" s="11" t="s">
        <v>216</v>
      </c>
      <c r="D34" s="11" t="s">
        <v>162</v>
      </c>
      <c r="E34" s="11" t="s">
        <v>217</v>
      </c>
      <c r="F34" s="11" t="s">
        <v>218</v>
      </c>
      <c r="G34" s="11" t="s">
        <v>219</v>
      </c>
      <c r="H34" s="11"/>
      <c r="I34" s="11"/>
      <c r="J34" s="11"/>
      <c r="K34" s="11"/>
      <c r="L34" s="11"/>
    </row>
    <row r="35" customFormat="false" ht="46.5" hidden="false" customHeight="true" outlineLevel="0" collapsed="false">
      <c r="A35" s="14" t="s">
        <v>220</v>
      </c>
      <c r="B35" s="11" t="s">
        <v>206</v>
      </c>
      <c r="C35" s="11" t="s">
        <v>216</v>
      </c>
      <c r="D35" s="11" t="s">
        <v>215</v>
      </c>
      <c r="E35" s="11" t="s">
        <v>221</v>
      </c>
      <c r="F35" s="11" t="s">
        <v>222</v>
      </c>
      <c r="G35" s="11" t="s">
        <v>223</v>
      </c>
      <c r="H35" s="11"/>
      <c r="I35" s="11"/>
      <c r="J35" s="11"/>
      <c r="K35" s="11"/>
      <c r="L35" s="11"/>
    </row>
    <row r="36" customFormat="false" ht="46.5" hidden="false" customHeight="true" outlineLevel="0" collapsed="false">
      <c r="A36" s="14" t="s">
        <v>224</v>
      </c>
      <c r="B36" s="11" t="s">
        <v>206</v>
      </c>
      <c r="C36" s="11" t="s">
        <v>216</v>
      </c>
      <c r="D36" s="11" t="s">
        <v>215</v>
      </c>
      <c r="E36" s="11" t="s">
        <v>225</v>
      </c>
      <c r="F36" s="11" t="s">
        <v>226</v>
      </c>
      <c r="G36" s="11" t="s">
        <v>227</v>
      </c>
      <c r="H36" s="11"/>
      <c r="I36" s="11"/>
      <c r="J36" s="11"/>
      <c r="K36" s="11"/>
      <c r="L36" s="11"/>
    </row>
    <row r="37" customFormat="false" ht="46.5" hidden="false" customHeight="true" outlineLevel="0" collapsed="false">
      <c r="A37" s="14" t="s">
        <v>228</v>
      </c>
      <c r="B37" s="11" t="s">
        <v>206</v>
      </c>
      <c r="C37" s="11" t="s">
        <v>216</v>
      </c>
      <c r="D37" s="11" t="s">
        <v>215</v>
      </c>
      <c r="E37" s="11" t="s">
        <v>229</v>
      </c>
      <c r="F37" s="11" t="s">
        <v>230</v>
      </c>
      <c r="G37" s="11" t="s">
        <v>231</v>
      </c>
      <c r="H37" s="11"/>
      <c r="I37" s="11"/>
      <c r="J37" s="11"/>
      <c r="K37" s="11"/>
      <c r="L37" s="11"/>
    </row>
    <row r="38" customFormat="false" ht="46.5" hidden="false" customHeight="true" outlineLevel="0" collapsed="false">
      <c r="A38" s="14" t="s">
        <v>232</v>
      </c>
      <c r="B38" s="11" t="s">
        <v>206</v>
      </c>
      <c r="C38" s="11" t="s">
        <v>216</v>
      </c>
      <c r="D38" s="11" t="s">
        <v>228</v>
      </c>
      <c r="E38" s="11" t="s">
        <v>233</v>
      </c>
      <c r="F38" s="11" t="s">
        <v>234</v>
      </c>
      <c r="G38" s="11" t="s">
        <v>235</v>
      </c>
      <c r="H38" s="11"/>
      <c r="I38" s="11"/>
      <c r="J38" s="11"/>
      <c r="K38" s="11"/>
      <c r="L38" s="11"/>
    </row>
    <row r="39" customFormat="false" ht="46.5" hidden="false" customHeight="true" outlineLevel="0" collapsed="false">
      <c r="A39" s="14" t="s">
        <v>236</v>
      </c>
      <c r="B39" s="11" t="s">
        <v>206</v>
      </c>
      <c r="C39" s="11" t="s">
        <v>216</v>
      </c>
      <c r="D39" s="11" t="s">
        <v>215</v>
      </c>
      <c r="E39" s="11" t="s">
        <v>237</v>
      </c>
      <c r="F39" s="11" t="s">
        <v>238</v>
      </c>
      <c r="G39" s="11" t="s">
        <v>239</v>
      </c>
      <c r="H39" s="11"/>
      <c r="I39" s="11"/>
      <c r="J39" s="11"/>
      <c r="K39" s="11"/>
      <c r="L39" s="11"/>
    </row>
    <row r="40" customFormat="false" ht="46.5" hidden="false" customHeight="true" outlineLevel="0" collapsed="false">
      <c r="A40" s="14" t="s">
        <v>240</v>
      </c>
      <c r="B40" s="11" t="s">
        <v>206</v>
      </c>
      <c r="C40" s="11" t="s">
        <v>216</v>
      </c>
      <c r="D40" s="11" t="s">
        <v>215</v>
      </c>
      <c r="E40" s="11" t="s">
        <v>241</v>
      </c>
      <c r="F40" s="11" t="s">
        <v>242</v>
      </c>
      <c r="G40" s="11" t="s">
        <v>243</v>
      </c>
      <c r="H40" s="11"/>
      <c r="I40" s="11"/>
      <c r="J40" s="11"/>
      <c r="K40" s="11"/>
      <c r="L40" s="11"/>
    </row>
    <row r="41" customFormat="false" ht="60" hidden="false" customHeight="true" outlineLevel="0" collapsed="false">
      <c r="A41" s="14" t="s">
        <v>244</v>
      </c>
      <c r="B41" s="11" t="s">
        <v>206</v>
      </c>
      <c r="C41" s="11" t="s">
        <v>216</v>
      </c>
      <c r="D41" s="11" t="s">
        <v>215</v>
      </c>
      <c r="E41" s="11" t="s">
        <v>245</v>
      </c>
      <c r="F41" s="11" t="s">
        <v>246</v>
      </c>
      <c r="G41" s="11" t="s">
        <v>247</v>
      </c>
      <c r="H41" s="11"/>
      <c r="I41" s="11"/>
      <c r="J41" s="11"/>
      <c r="K41" s="11"/>
      <c r="L41" s="11"/>
    </row>
    <row r="42" customFormat="false" ht="46.5" hidden="false" customHeight="true" outlineLevel="0" collapsed="false">
      <c r="A42" s="14" t="s">
        <v>248</v>
      </c>
      <c r="B42" s="11" t="s">
        <v>206</v>
      </c>
      <c r="C42" s="11" t="s">
        <v>216</v>
      </c>
      <c r="D42" s="11" t="s">
        <v>244</v>
      </c>
      <c r="E42" s="11" t="s">
        <v>249</v>
      </c>
      <c r="F42" s="11" t="s">
        <v>250</v>
      </c>
      <c r="G42" s="11" t="s">
        <v>251</v>
      </c>
      <c r="H42" s="11"/>
      <c r="I42" s="11"/>
      <c r="J42" s="11"/>
      <c r="K42" s="11"/>
      <c r="L42" s="11"/>
    </row>
    <row r="43" customFormat="false" ht="60" hidden="false" customHeight="true" outlineLevel="0" collapsed="false">
      <c r="A43" s="14" t="s">
        <v>252</v>
      </c>
      <c r="B43" s="11" t="s">
        <v>206</v>
      </c>
      <c r="C43" s="11" t="s">
        <v>207</v>
      </c>
      <c r="D43" s="11" t="s">
        <v>205</v>
      </c>
      <c r="E43" s="11" t="s">
        <v>253</v>
      </c>
      <c r="F43" s="11" t="s">
        <v>254</v>
      </c>
      <c r="G43" s="11" t="s">
        <v>255</v>
      </c>
      <c r="H43" s="11"/>
      <c r="I43" s="11"/>
      <c r="J43" s="11"/>
      <c r="K43" s="11"/>
      <c r="L43" s="11"/>
    </row>
    <row r="44" customFormat="false" ht="46.5" hidden="false" customHeight="true" outlineLevel="0" collapsed="false">
      <c r="A44" s="14" t="s">
        <v>256</v>
      </c>
      <c r="B44" s="11" t="s">
        <v>206</v>
      </c>
      <c r="C44" s="11" t="s">
        <v>207</v>
      </c>
      <c r="D44" s="11" t="s">
        <v>162</v>
      </c>
      <c r="E44" s="11" t="s">
        <v>257</v>
      </c>
      <c r="F44" s="11" t="s">
        <v>258</v>
      </c>
      <c r="G44" s="11" t="s">
        <v>259</v>
      </c>
      <c r="H44" s="11"/>
      <c r="I44" s="11"/>
      <c r="J44" s="11"/>
      <c r="K44" s="11"/>
      <c r="L44" s="11"/>
    </row>
    <row r="45" customFormat="false" ht="46.5" hidden="false" customHeight="true" outlineLevel="0" collapsed="false">
      <c r="A45" s="14" t="s">
        <v>260</v>
      </c>
      <c r="B45" s="11" t="s">
        <v>206</v>
      </c>
      <c r="C45" s="11" t="s">
        <v>207</v>
      </c>
      <c r="D45" s="11" t="s">
        <v>162</v>
      </c>
      <c r="E45" s="11" t="s">
        <v>261</v>
      </c>
      <c r="F45" s="11" t="s">
        <v>262</v>
      </c>
      <c r="G45" s="11" t="s">
        <v>263</v>
      </c>
      <c r="H45" s="11"/>
      <c r="I45" s="11"/>
      <c r="J45" s="11"/>
      <c r="K45" s="11"/>
      <c r="L45" s="11"/>
    </row>
    <row r="46" customFormat="false" ht="46.5" hidden="false" customHeight="true" outlineLevel="0" collapsed="false">
      <c r="A46" s="14" t="s">
        <v>264</v>
      </c>
      <c r="B46" s="11" t="s">
        <v>206</v>
      </c>
      <c r="C46" s="11" t="s">
        <v>265</v>
      </c>
      <c r="D46" s="11" t="s">
        <v>215</v>
      </c>
      <c r="E46" s="11" t="s">
        <v>266</v>
      </c>
      <c r="F46" s="11" t="s">
        <v>267</v>
      </c>
      <c r="G46" s="11" t="s">
        <v>268</v>
      </c>
      <c r="H46" s="11"/>
      <c r="I46" s="11"/>
      <c r="J46" s="11"/>
      <c r="K46" s="11"/>
      <c r="L46" s="11"/>
    </row>
    <row r="47" customFormat="false" ht="46.5" hidden="false" customHeight="true" outlineLevel="0" collapsed="false">
      <c r="A47" s="14" t="s">
        <v>269</v>
      </c>
      <c r="B47" s="11" t="s">
        <v>206</v>
      </c>
      <c r="C47" s="11" t="s">
        <v>207</v>
      </c>
      <c r="D47" s="11" t="s">
        <v>205</v>
      </c>
      <c r="E47" s="11" t="s">
        <v>270</v>
      </c>
      <c r="F47" s="11" t="s">
        <v>271</v>
      </c>
      <c r="G47" s="11" t="s">
        <v>272</v>
      </c>
      <c r="H47" s="11"/>
      <c r="I47" s="11"/>
      <c r="J47" s="11"/>
      <c r="K47" s="11"/>
      <c r="L47" s="11"/>
    </row>
    <row r="48" customFormat="false" ht="46.5" hidden="false" customHeight="true" outlineLevel="0" collapsed="false">
      <c r="A48" s="14" t="s">
        <v>273</v>
      </c>
      <c r="B48" s="11" t="s">
        <v>206</v>
      </c>
      <c r="C48" s="11" t="s">
        <v>207</v>
      </c>
      <c r="D48" s="11" t="s">
        <v>205</v>
      </c>
      <c r="E48" s="11" t="s">
        <v>274</v>
      </c>
      <c r="F48" s="11" t="s">
        <v>275</v>
      </c>
      <c r="G48" s="11" t="s">
        <v>276</v>
      </c>
      <c r="H48" s="11"/>
      <c r="I48" s="11"/>
      <c r="J48" s="11"/>
      <c r="K48" s="11"/>
      <c r="L48" s="11"/>
    </row>
    <row r="49" customFormat="false" ht="46.5" hidden="false" customHeight="true" outlineLevel="0" collapsed="false">
      <c r="A49" s="12" t="s">
        <v>277</v>
      </c>
      <c r="B49" s="13" t="s">
        <v>278</v>
      </c>
      <c r="C49" s="13" t="s">
        <v>279</v>
      </c>
      <c r="D49" s="13" t="s">
        <v>162</v>
      </c>
      <c r="E49" s="13" t="s">
        <v>280</v>
      </c>
      <c r="F49" s="13" t="s">
        <v>281</v>
      </c>
      <c r="G49" s="13" t="s">
        <v>282</v>
      </c>
      <c r="H49" s="13"/>
      <c r="I49" s="13"/>
      <c r="J49" s="13"/>
      <c r="K49" s="13"/>
      <c r="L49" s="13"/>
    </row>
    <row r="50" customFormat="false" ht="46.5" hidden="false" customHeight="true" outlineLevel="0" collapsed="false">
      <c r="A50" s="14" t="s">
        <v>283</v>
      </c>
      <c r="B50" s="11" t="s">
        <v>278</v>
      </c>
      <c r="C50" s="11" t="s">
        <v>279</v>
      </c>
      <c r="D50" s="11" t="s">
        <v>277</v>
      </c>
      <c r="E50" s="11" t="s">
        <v>284</v>
      </c>
      <c r="F50" s="11" t="s">
        <v>285</v>
      </c>
      <c r="G50" s="11" t="s">
        <v>286</v>
      </c>
      <c r="H50" s="11"/>
      <c r="I50" s="11"/>
      <c r="J50" s="11"/>
      <c r="K50" s="11"/>
      <c r="L50" s="11"/>
    </row>
    <row r="51" customFormat="false" ht="60" hidden="false" customHeight="true" outlineLevel="0" collapsed="false">
      <c r="A51" s="14" t="s">
        <v>287</v>
      </c>
      <c r="B51" s="11" t="s">
        <v>278</v>
      </c>
      <c r="C51" s="11" t="s">
        <v>288</v>
      </c>
      <c r="D51" s="11" t="s">
        <v>277</v>
      </c>
      <c r="E51" s="11" t="s">
        <v>289</v>
      </c>
      <c r="F51" s="11" t="s">
        <v>290</v>
      </c>
      <c r="G51" s="11" t="s">
        <v>291</v>
      </c>
      <c r="H51" s="11"/>
      <c r="I51" s="11"/>
      <c r="J51" s="11"/>
      <c r="K51" s="11"/>
      <c r="L51" s="11"/>
    </row>
    <row r="52" customFormat="false" ht="46.5" hidden="false" customHeight="true" outlineLevel="0" collapsed="false">
      <c r="A52" s="14" t="s">
        <v>292</v>
      </c>
      <c r="B52" s="11" t="s">
        <v>278</v>
      </c>
      <c r="C52" s="11" t="s">
        <v>288</v>
      </c>
      <c r="D52" s="11" t="s">
        <v>287</v>
      </c>
      <c r="E52" s="11" t="s">
        <v>293</v>
      </c>
      <c r="F52" s="11" t="s">
        <v>294</v>
      </c>
      <c r="G52" s="11" t="s">
        <v>295</v>
      </c>
      <c r="H52" s="11"/>
      <c r="I52" s="11"/>
      <c r="J52" s="11"/>
      <c r="K52" s="11"/>
      <c r="L52" s="11"/>
    </row>
    <row r="53" customFormat="false" ht="46.5" hidden="false" customHeight="true" outlineLevel="0" collapsed="false">
      <c r="A53" s="14" t="s">
        <v>296</v>
      </c>
      <c r="B53" s="11" t="s">
        <v>278</v>
      </c>
      <c r="C53" s="11" t="s">
        <v>288</v>
      </c>
      <c r="D53" s="11" t="s">
        <v>287</v>
      </c>
      <c r="E53" s="11" t="s">
        <v>297</v>
      </c>
      <c r="F53" s="11" t="s">
        <v>298</v>
      </c>
      <c r="G53" s="11" t="s">
        <v>299</v>
      </c>
      <c r="H53" s="11"/>
      <c r="I53" s="11"/>
      <c r="J53" s="11"/>
      <c r="K53" s="11"/>
      <c r="L53" s="11"/>
    </row>
    <row r="54" customFormat="false" ht="46.5" hidden="false" customHeight="true" outlineLevel="0" collapsed="false">
      <c r="A54" s="14" t="s">
        <v>300</v>
      </c>
      <c r="B54" s="11" t="s">
        <v>278</v>
      </c>
      <c r="C54" s="11" t="s">
        <v>288</v>
      </c>
      <c r="D54" s="11" t="s">
        <v>287</v>
      </c>
      <c r="E54" s="11" t="s">
        <v>301</v>
      </c>
      <c r="F54" s="11" t="s">
        <v>302</v>
      </c>
      <c r="G54" s="11" t="s">
        <v>303</v>
      </c>
      <c r="H54" s="11"/>
      <c r="I54" s="11"/>
      <c r="J54" s="11"/>
      <c r="K54" s="11"/>
      <c r="L54" s="11"/>
    </row>
    <row r="55" customFormat="false" ht="46.5" hidden="false" customHeight="true" outlineLevel="0" collapsed="false">
      <c r="A55" s="14" t="s">
        <v>304</v>
      </c>
      <c r="B55" s="11" t="s">
        <v>278</v>
      </c>
      <c r="C55" s="11" t="s">
        <v>279</v>
      </c>
      <c r="D55" s="11" t="s">
        <v>300</v>
      </c>
      <c r="E55" s="11" t="s">
        <v>305</v>
      </c>
      <c r="F55" s="11" t="s">
        <v>306</v>
      </c>
      <c r="G55" s="11" t="s">
        <v>307</v>
      </c>
      <c r="H55" s="11"/>
      <c r="I55" s="11"/>
      <c r="J55" s="11"/>
      <c r="K55" s="11"/>
      <c r="L55" s="11"/>
    </row>
    <row r="56" customFormat="false" ht="46.5" hidden="false" customHeight="true" outlineLevel="0" collapsed="false">
      <c r="A56" s="14" t="s">
        <v>308</v>
      </c>
      <c r="B56" s="11" t="s">
        <v>278</v>
      </c>
      <c r="C56" s="11" t="s">
        <v>279</v>
      </c>
      <c r="D56" s="11" t="s">
        <v>277</v>
      </c>
      <c r="E56" s="11" t="s">
        <v>309</v>
      </c>
      <c r="F56" s="11" t="s">
        <v>310</v>
      </c>
      <c r="G56" s="11" t="s">
        <v>311</v>
      </c>
      <c r="H56" s="11"/>
      <c r="I56" s="11"/>
      <c r="J56" s="11"/>
      <c r="K56" s="11"/>
      <c r="L56" s="11"/>
    </row>
    <row r="57" customFormat="false" ht="46.5" hidden="false" customHeight="true" outlineLevel="0" collapsed="false">
      <c r="A57" s="14" t="s">
        <v>312</v>
      </c>
      <c r="B57" s="11" t="s">
        <v>278</v>
      </c>
      <c r="C57" s="11" t="s">
        <v>288</v>
      </c>
      <c r="D57" s="11" t="s">
        <v>287</v>
      </c>
      <c r="E57" s="11" t="s">
        <v>313</v>
      </c>
      <c r="F57" s="11" t="s">
        <v>314</v>
      </c>
      <c r="G57" s="11" t="s">
        <v>315</v>
      </c>
      <c r="H57" s="11"/>
      <c r="I57" s="11"/>
      <c r="J57" s="11"/>
      <c r="K57" s="11"/>
      <c r="L57" s="11"/>
    </row>
    <row r="58" customFormat="false" ht="46.5" hidden="false" customHeight="true" outlineLevel="0" collapsed="false">
      <c r="A58" s="14" t="s">
        <v>316</v>
      </c>
      <c r="B58" s="11" t="s">
        <v>278</v>
      </c>
      <c r="C58" s="11" t="s">
        <v>63</v>
      </c>
      <c r="D58" s="11" t="s">
        <v>287</v>
      </c>
      <c r="E58" s="11" t="s">
        <v>317</v>
      </c>
      <c r="F58" s="11" t="s">
        <v>318</v>
      </c>
      <c r="G58" s="11" t="s">
        <v>319</v>
      </c>
      <c r="H58" s="11"/>
      <c r="I58" s="11"/>
      <c r="J58" s="11"/>
      <c r="K58" s="11"/>
      <c r="L58" s="11"/>
    </row>
    <row r="59" customFormat="false" ht="46.5" hidden="false" customHeight="true" outlineLevel="0" collapsed="false">
      <c r="A59" s="14" t="s">
        <v>320</v>
      </c>
      <c r="B59" s="11" t="s">
        <v>278</v>
      </c>
      <c r="C59" s="11" t="s">
        <v>37</v>
      </c>
      <c r="D59" s="11" t="s">
        <v>287</v>
      </c>
      <c r="E59" s="11" t="s">
        <v>321</v>
      </c>
      <c r="F59" s="11" t="s">
        <v>322</v>
      </c>
      <c r="G59" s="11" t="s">
        <v>323</v>
      </c>
      <c r="H59" s="11"/>
      <c r="I59" s="11"/>
      <c r="J59" s="11"/>
      <c r="K59" s="11"/>
      <c r="L59" s="11"/>
    </row>
    <row r="60" customFormat="false" ht="60" hidden="false" customHeight="true" outlineLevel="0" collapsed="false">
      <c r="A60" s="14" t="s">
        <v>324</v>
      </c>
      <c r="B60" s="11" t="s">
        <v>278</v>
      </c>
      <c r="C60" s="11" t="s">
        <v>54</v>
      </c>
      <c r="D60" s="11" t="s">
        <v>320</v>
      </c>
      <c r="E60" s="11" t="s">
        <v>325</v>
      </c>
      <c r="F60" s="11" t="s">
        <v>326</v>
      </c>
      <c r="G60" s="11" t="s">
        <v>327</v>
      </c>
      <c r="H60" s="11"/>
      <c r="I60" s="11"/>
      <c r="J60" s="11"/>
      <c r="K60" s="11"/>
      <c r="L60" s="11"/>
    </row>
    <row r="61" customFormat="false" ht="46.5" hidden="false" customHeight="true" outlineLevel="0" collapsed="false">
      <c r="A61" s="14" t="s">
        <v>328</v>
      </c>
      <c r="B61" s="11" t="s">
        <v>278</v>
      </c>
      <c r="C61" s="11" t="s">
        <v>37</v>
      </c>
      <c r="D61" s="11" t="s">
        <v>320</v>
      </c>
      <c r="E61" s="11" t="s">
        <v>329</v>
      </c>
      <c r="F61" s="11" t="s">
        <v>330</v>
      </c>
      <c r="G61" s="11" t="s">
        <v>331</v>
      </c>
      <c r="H61" s="11"/>
      <c r="I61" s="11"/>
      <c r="J61" s="11"/>
      <c r="K61" s="11"/>
      <c r="L61" s="11"/>
    </row>
    <row r="62" customFormat="false" ht="46.5" hidden="false" customHeight="true" outlineLevel="0" collapsed="false">
      <c r="A62" s="12" t="s">
        <v>332</v>
      </c>
      <c r="B62" s="13" t="s">
        <v>333</v>
      </c>
      <c r="C62" s="13" t="s">
        <v>334</v>
      </c>
      <c r="D62" s="13" t="s">
        <v>105</v>
      </c>
      <c r="E62" s="13" t="s">
        <v>335</v>
      </c>
      <c r="F62" s="13" t="s">
        <v>336</v>
      </c>
      <c r="G62" s="13" t="s">
        <v>337</v>
      </c>
      <c r="H62" s="13"/>
      <c r="I62" s="13"/>
      <c r="J62" s="13"/>
      <c r="K62" s="13"/>
      <c r="L62" s="13"/>
    </row>
    <row r="63" customFormat="false" ht="60" hidden="false" customHeight="true" outlineLevel="0" collapsed="false">
      <c r="A63" s="14" t="s">
        <v>338</v>
      </c>
      <c r="B63" s="11" t="s">
        <v>333</v>
      </c>
      <c r="C63" s="11" t="s">
        <v>339</v>
      </c>
      <c r="D63" s="11" t="s">
        <v>332</v>
      </c>
      <c r="E63" s="11" t="s">
        <v>340</v>
      </c>
      <c r="F63" s="11" t="s">
        <v>341</v>
      </c>
      <c r="G63" s="11" t="s">
        <v>342</v>
      </c>
      <c r="H63" s="11"/>
      <c r="I63" s="11"/>
      <c r="J63" s="11"/>
      <c r="K63" s="11"/>
      <c r="L63" s="11"/>
    </row>
    <row r="64" customFormat="false" ht="46.5" hidden="false" customHeight="true" outlineLevel="0" collapsed="false">
      <c r="A64" s="14" t="s">
        <v>343</v>
      </c>
      <c r="B64" s="11" t="s">
        <v>333</v>
      </c>
      <c r="C64" s="11" t="s">
        <v>334</v>
      </c>
      <c r="D64" s="11" t="s">
        <v>332</v>
      </c>
      <c r="E64" s="11" t="s">
        <v>344</v>
      </c>
      <c r="F64" s="11" t="s">
        <v>345</v>
      </c>
      <c r="G64" s="11" t="s">
        <v>346</v>
      </c>
      <c r="H64" s="11"/>
      <c r="I64" s="11"/>
      <c r="J64" s="11"/>
      <c r="K64" s="11"/>
      <c r="L64" s="11"/>
    </row>
    <row r="65" customFormat="false" ht="46.5" hidden="false" customHeight="true" outlineLevel="0" collapsed="false">
      <c r="A65" s="14" t="s">
        <v>347</v>
      </c>
      <c r="B65" s="11" t="s">
        <v>333</v>
      </c>
      <c r="C65" s="11" t="s">
        <v>348</v>
      </c>
      <c r="D65" s="11" t="s">
        <v>332</v>
      </c>
      <c r="E65" s="11" t="s">
        <v>349</v>
      </c>
      <c r="F65" s="11" t="s">
        <v>350</v>
      </c>
      <c r="G65" s="11" t="s">
        <v>351</v>
      </c>
      <c r="H65" s="11"/>
      <c r="I65" s="11"/>
      <c r="J65" s="11"/>
      <c r="K65" s="11"/>
      <c r="L65" s="11"/>
    </row>
    <row r="66" customFormat="false" ht="46.5" hidden="false" customHeight="true" outlineLevel="0" collapsed="false">
      <c r="A66" s="12" t="s">
        <v>352</v>
      </c>
      <c r="B66" s="13" t="s">
        <v>353</v>
      </c>
      <c r="C66" s="13" t="s">
        <v>354</v>
      </c>
      <c r="D66" s="13" t="s">
        <v>105</v>
      </c>
      <c r="E66" s="13" t="s">
        <v>355</v>
      </c>
      <c r="F66" s="13" t="s">
        <v>356</v>
      </c>
      <c r="G66" s="13" t="s">
        <v>357</v>
      </c>
      <c r="H66" s="13"/>
      <c r="I66" s="13"/>
      <c r="J66" s="13"/>
      <c r="K66" s="13"/>
      <c r="L66" s="13"/>
    </row>
    <row r="67" customFormat="false" ht="60" hidden="false" customHeight="true" outlineLevel="0" collapsed="false">
      <c r="A67" s="14" t="s">
        <v>358</v>
      </c>
      <c r="B67" s="11" t="s">
        <v>353</v>
      </c>
      <c r="C67" s="11" t="s">
        <v>37</v>
      </c>
      <c r="D67" s="11" t="s">
        <v>352</v>
      </c>
      <c r="E67" s="11" t="s">
        <v>359</v>
      </c>
      <c r="F67" s="11" t="s">
        <v>360</v>
      </c>
      <c r="G67" s="11" t="s">
        <v>361</v>
      </c>
      <c r="H67" s="11"/>
      <c r="I67" s="11"/>
      <c r="J67" s="11"/>
      <c r="K67" s="11"/>
      <c r="L67" s="11"/>
    </row>
    <row r="68" customFormat="false" ht="46.5" hidden="false" customHeight="true" outlineLevel="0" collapsed="false">
      <c r="A68" s="14" t="s">
        <v>362</v>
      </c>
      <c r="B68" s="11" t="s">
        <v>353</v>
      </c>
      <c r="C68" s="11" t="s">
        <v>37</v>
      </c>
      <c r="D68" s="11" t="s">
        <v>358</v>
      </c>
      <c r="E68" s="11" t="s">
        <v>363</v>
      </c>
      <c r="F68" s="11" t="s">
        <v>364</v>
      </c>
      <c r="G68" s="11" t="s">
        <v>365</v>
      </c>
      <c r="H68" s="11"/>
      <c r="I68" s="11"/>
      <c r="J68" s="11"/>
      <c r="K68" s="11"/>
      <c r="L68" s="11"/>
    </row>
    <row r="69" customFormat="false" ht="46.5" hidden="false" customHeight="true" outlineLevel="0" collapsed="false">
      <c r="A69" s="14" t="s">
        <v>366</v>
      </c>
      <c r="B69" s="11" t="s">
        <v>353</v>
      </c>
      <c r="C69" s="11" t="s">
        <v>54</v>
      </c>
      <c r="D69" s="11" t="s">
        <v>358</v>
      </c>
      <c r="E69" s="11" t="s">
        <v>367</v>
      </c>
      <c r="F69" s="11" t="s">
        <v>368</v>
      </c>
      <c r="G69" s="11" t="s">
        <v>369</v>
      </c>
      <c r="H69" s="11"/>
      <c r="I69" s="11"/>
      <c r="J69" s="11"/>
      <c r="K69" s="11"/>
      <c r="L69" s="11"/>
    </row>
    <row r="70" customFormat="false" ht="46.5" hidden="false" customHeight="true" outlineLevel="0" collapsed="false">
      <c r="A70" s="14" t="s">
        <v>370</v>
      </c>
      <c r="B70" s="11" t="s">
        <v>353</v>
      </c>
      <c r="C70" s="11" t="s">
        <v>54</v>
      </c>
      <c r="D70" s="11" t="s">
        <v>366</v>
      </c>
      <c r="E70" s="11" t="s">
        <v>371</v>
      </c>
      <c r="F70" s="11" t="s">
        <v>372</v>
      </c>
      <c r="G70" s="11" t="s">
        <v>373</v>
      </c>
      <c r="H70" s="11"/>
      <c r="I70" s="11"/>
      <c r="J70" s="11"/>
      <c r="K70" s="11"/>
      <c r="L70" s="11"/>
    </row>
    <row r="71" customFormat="false" ht="46.5" hidden="false" customHeight="true" outlineLevel="0" collapsed="false">
      <c r="A71" s="14" t="s">
        <v>374</v>
      </c>
      <c r="B71" s="11" t="s">
        <v>353</v>
      </c>
      <c r="C71" s="11" t="s">
        <v>54</v>
      </c>
      <c r="D71" s="11" t="s">
        <v>358</v>
      </c>
      <c r="E71" s="11" t="s">
        <v>375</v>
      </c>
      <c r="F71" s="11" t="s">
        <v>376</v>
      </c>
      <c r="G71" s="11" t="s">
        <v>377</v>
      </c>
      <c r="H71" s="11"/>
      <c r="I71" s="11"/>
      <c r="J71" s="11"/>
      <c r="K71" s="11"/>
      <c r="L71" s="11"/>
    </row>
    <row r="72" customFormat="false" ht="46.5" hidden="false" customHeight="true" outlineLevel="0" collapsed="false">
      <c r="A72" s="14" t="s">
        <v>378</v>
      </c>
      <c r="B72" s="11" t="s">
        <v>353</v>
      </c>
      <c r="C72" s="11" t="s">
        <v>37</v>
      </c>
      <c r="D72" s="11" t="s">
        <v>374</v>
      </c>
      <c r="E72" s="11" t="s">
        <v>379</v>
      </c>
      <c r="F72" s="11" t="s">
        <v>380</v>
      </c>
      <c r="G72" s="11" t="s">
        <v>381</v>
      </c>
      <c r="H72" s="11"/>
      <c r="I72" s="11"/>
      <c r="J72" s="11"/>
      <c r="K72" s="11"/>
      <c r="L72" s="11"/>
    </row>
    <row r="73" customFormat="false" ht="60" hidden="false" customHeight="true" outlineLevel="0" collapsed="false">
      <c r="A73" s="14" t="s">
        <v>382</v>
      </c>
      <c r="B73" s="11" t="s">
        <v>353</v>
      </c>
      <c r="C73" s="11" t="s">
        <v>62</v>
      </c>
      <c r="D73" s="11" t="s">
        <v>87</v>
      </c>
      <c r="E73" s="11" t="s">
        <v>383</v>
      </c>
      <c r="F73" s="11" t="s">
        <v>384</v>
      </c>
      <c r="G73" s="11" t="s">
        <v>385</v>
      </c>
      <c r="H73" s="11"/>
      <c r="I73" s="11"/>
      <c r="J73" s="11"/>
      <c r="K73" s="11"/>
      <c r="L73" s="11"/>
    </row>
    <row r="74" customFormat="false" ht="46.5" hidden="false" customHeight="true" outlineLevel="0" collapsed="false">
      <c r="A74" s="14" t="s">
        <v>386</v>
      </c>
      <c r="B74" s="11" t="s">
        <v>353</v>
      </c>
      <c r="C74" s="11" t="s">
        <v>62</v>
      </c>
      <c r="D74" s="11" t="s">
        <v>77</v>
      </c>
      <c r="E74" s="11" t="s">
        <v>387</v>
      </c>
      <c r="F74" s="11" t="s">
        <v>388</v>
      </c>
      <c r="G74" s="11" t="s">
        <v>389</v>
      </c>
      <c r="H74" s="11"/>
      <c r="I74" s="11"/>
      <c r="J74" s="11"/>
      <c r="K74" s="11"/>
      <c r="L74" s="11"/>
    </row>
    <row r="75" customFormat="false" ht="46.5" hidden="false" customHeight="true" outlineLevel="0" collapsed="false">
      <c r="A75" s="14" t="s">
        <v>390</v>
      </c>
      <c r="B75" s="11" t="s">
        <v>353</v>
      </c>
      <c r="C75" s="11" t="s">
        <v>391</v>
      </c>
      <c r="D75" s="11" t="s">
        <v>352</v>
      </c>
      <c r="E75" s="11" t="s">
        <v>392</v>
      </c>
      <c r="F75" s="11" t="s">
        <v>393</v>
      </c>
      <c r="G75" s="11" t="s">
        <v>394</v>
      </c>
      <c r="H75" s="11"/>
      <c r="I75" s="11"/>
      <c r="J75" s="11"/>
      <c r="K75" s="11"/>
      <c r="L75" s="11"/>
    </row>
    <row r="76" customFormat="false" ht="46.5" hidden="false" customHeight="true" outlineLevel="0" collapsed="false">
      <c r="A76" s="12" t="s">
        <v>395</v>
      </c>
      <c r="B76" s="13" t="s">
        <v>396</v>
      </c>
      <c r="C76" s="13" t="s">
        <v>397</v>
      </c>
      <c r="D76" s="13" t="s">
        <v>105</v>
      </c>
      <c r="E76" s="13" t="s">
        <v>398</v>
      </c>
      <c r="F76" s="13" t="s">
        <v>399</v>
      </c>
      <c r="G76" s="13" t="s">
        <v>400</v>
      </c>
      <c r="H76" s="13"/>
      <c r="I76" s="13"/>
      <c r="J76" s="13"/>
      <c r="K76" s="13"/>
      <c r="L76" s="13"/>
    </row>
    <row r="77" customFormat="false" ht="46.5" hidden="false" customHeight="true" outlineLevel="0" collapsed="false">
      <c r="A77" s="14" t="s">
        <v>401</v>
      </c>
      <c r="B77" s="11" t="s">
        <v>396</v>
      </c>
      <c r="C77" s="11" t="s">
        <v>402</v>
      </c>
      <c r="D77" s="11" t="s">
        <v>395</v>
      </c>
      <c r="E77" s="11" t="s">
        <v>403</v>
      </c>
      <c r="F77" s="11" t="s">
        <v>404</v>
      </c>
      <c r="G77" s="11" t="s">
        <v>405</v>
      </c>
      <c r="H77" s="11"/>
      <c r="I77" s="11"/>
      <c r="J77" s="11"/>
      <c r="K77" s="11"/>
      <c r="L77" s="11"/>
    </row>
    <row r="78" customFormat="false" ht="46.5" hidden="false" customHeight="true" outlineLevel="0" collapsed="false">
      <c r="A78" s="14" t="s">
        <v>406</v>
      </c>
      <c r="B78" s="11" t="s">
        <v>396</v>
      </c>
      <c r="C78" s="11" t="s">
        <v>402</v>
      </c>
      <c r="D78" s="11" t="s">
        <v>401</v>
      </c>
      <c r="E78" s="11" t="s">
        <v>407</v>
      </c>
      <c r="F78" s="11" t="s">
        <v>408</v>
      </c>
      <c r="G78" s="11" t="s">
        <v>409</v>
      </c>
      <c r="H78" s="11"/>
      <c r="I78" s="11"/>
      <c r="J78" s="11"/>
      <c r="K78" s="11"/>
      <c r="L78" s="11"/>
    </row>
    <row r="79" customFormat="false" ht="46.5" hidden="false" customHeight="true" outlineLevel="0" collapsed="false">
      <c r="A79" s="14" t="s">
        <v>410</v>
      </c>
      <c r="B79" s="11" t="s">
        <v>396</v>
      </c>
      <c r="C79" s="11" t="s">
        <v>402</v>
      </c>
      <c r="D79" s="11" t="s">
        <v>401</v>
      </c>
      <c r="E79" s="11" t="s">
        <v>411</v>
      </c>
      <c r="F79" s="11" t="s">
        <v>412</v>
      </c>
      <c r="G79" s="11" t="s">
        <v>413</v>
      </c>
      <c r="H79" s="11"/>
      <c r="I79" s="11"/>
      <c r="J79" s="11"/>
      <c r="K79" s="11"/>
      <c r="L79" s="11"/>
    </row>
    <row r="80" customFormat="false" ht="46.5" hidden="false" customHeight="true" outlineLevel="0" collapsed="false">
      <c r="A80" s="14" t="s">
        <v>414</v>
      </c>
      <c r="B80" s="11" t="s">
        <v>396</v>
      </c>
      <c r="C80" s="11" t="s">
        <v>402</v>
      </c>
      <c r="D80" s="11" t="s">
        <v>401</v>
      </c>
      <c r="E80" s="11" t="s">
        <v>415</v>
      </c>
      <c r="F80" s="11" t="s">
        <v>416</v>
      </c>
      <c r="G80" s="11" t="s">
        <v>417</v>
      </c>
      <c r="H80" s="11"/>
      <c r="I80" s="11"/>
      <c r="J80" s="11"/>
      <c r="K80" s="11"/>
      <c r="L80" s="11"/>
    </row>
    <row r="81" customFormat="false" ht="46.5" hidden="false" customHeight="true" outlineLevel="0" collapsed="false">
      <c r="A81" s="14" t="s">
        <v>418</v>
      </c>
      <c r="B81" s="11" t="s">
        <v>396</v>
      </c>
      <c r="C81" s="11" t="s">
        <v>402</v>
      </c>
      <c r="D81" s="11" t="s">
        <v>401</v>
      </c>
      <c r="E81" s="11" t="s">
        <v>419</v>
      </c>
      <c r="F81" s="11" t="s">
        <v>420</v>
      </c>
      <c r="G81" s="11" t="s">
        <v>421</v>
      </c>
      <c r="H81" s="11"/>
      <c r="I81" s="11"/>
      <c r="J81" s="11"/>
      <c r="K81" s="11"/>
      <c r="L81" s="11"/>
    </row>
    <row r="82" customFormat="false" ht="46.5" hidden="false" customHeight="true" outlineLevel="0" collapsed="false">
      <c r="A82" s="14" t="s">
        <v>422</v>
      </c>
      <c r="B82" s="11" t="s">
        <v>396</v>
      </c>
      <c r="C82" s="11" t="s">
        <v>397</v>
      </c>
      <c r="D82" s="11" t="s">
        <v>401</v>
      </c>
      <c r="E82" s="11" t="s">
        <v>423</v>
      </c>
      <c r="F82" s="11" t="s">
        <v>424</v>
      </c>
      <c r="G82" s="11" t="s">
        <v>425</v>
      </c>
      <c r="H82" s="11"/>
      <c r="I82" s="11"/>
      <c r="J82" s="11"/>
      <c r="K82" s="11"/>
      <c r="L82" s="11"/>
    </row>
    <row r="83" customFormat="false" ht="46.5" hidden="false" customHeight="true" outlineLevel="0" collapsed="false">
      <c r="A83" s="12" t="s">
        <v>426</v>
      </c>
      <c r="B83" s="13" t="s">
        <v>427</v>
      </c>
      <c r="C83" s="13" t="s">
        <v>428</v>
      </c>
      <c r="D83" s="13" t="s">
        <v>105</v>
      </c>
      <c r="E83" s="13" t="s">
        <v>429</v>
      </c>
      <c r="F83" s="13" t="s">
        <v>430</v>
      </c>
      <c r="G83" s="13" t="s">
        <v>431</v>
      </c>
      <c r="H83" s="13"/>
      <c r="I83" s="13"/>
      <c r="J83" s="13"/>
      <c r="K83" s="13"/>
      <c r="L83" s="13"/>
    </row>
    <row r="84" customFormat="false" ht="60" hidden="false" customHeight="true" outlineLevel="0" collapsed="false">
      <c r="A84" s="14" t="s">
        <v>432</v>
      </c>
      <c r="B84" s="11" t="s">
        <v>427</v>
      </c>
      <c r="C84" s="11" t="s">
        <v>433</v>
      </c>
      <c r="D84" s="11" t="s">
        <v>426</v>
      </c>
      <c r="E84" s="11" t="s">
        <v>434</v>
      </c>
      <c r="F84" s="11" t="s">
        <v>435</v>
      </c>
      <c r="G84" s="11" t="s">
        <v>436</v>
      </c>
      <c r="H84" s="11"/>
      <c r="I84" s="11"/>
      <c r="J84" s="11"/>
      <c r="K84" s="11"/>
      <c r="L84" s="11"/>
    </row>
    <row r="85" customFormat="false" ht="46.5" hidden="false" customHeight="true" outlineLevel="0" collapsed="false">
      <c r="A85" s="14" t="s">
        <v>437</v>
      </c>
      <c r="B85" s="11" t="s">
        <v>427</v>
      </c>
      <c r="C85" s="11" t="s">
        <v>433</v>
      </c>
      <c r="D85" s="11" t="s">
        <v>426</v>
      </c>
      <c r="E85" s="11" t="s">
        <v>438</v>
      </c>
      <c r="F85" s="11" t="s">
        <v>439</v>
      </c>
      <c r="G85" s="11" t="s">
        <v>440</v>
      </c>
      <c r="H85" s="11"/>
      <c r="I85" s="11"/>
      <c r="J85" s="11"/>
      <c r="K85" s="11"/>
      <c r="L85" s="11"/>
    </row>
    <row r="86" customFormat="false" ht="46.5" hidden="false" customHeight="true" outlineLevel="0" collapsed="false">
      <c r="A86" s="14" t="s">
        <v>441</v>
      </c>
      <c r="B86" s="11" t="s">
        <v>427</v>
      </c>
      <c r="C86" s="11" t="s">
        <v>433</v>
      </c>
      <c r="D86" s="11" t="s">
        <v>426</v>
      </c>
      <c r="E86" s="11" t="s">
        <v>442</v>
      </c>
      <c r="F86" s="11" t="s">
        <v>443</v>
      </c>
      <c r="G86" s="11" t="s">
        <v>444</v>
      </c>
      <c r="H86" s="11"/>
      <c r="I86" s="11"/>
      <c r="J86" s="11"/>
      <c r="K86" s="11"/>
      <c r="L86" s="11"/>
    </row>
    <row r="87" customFormat="false" ht="46.5" hidden="false" customHeight="true" outlineLevel="0" collapsed="false">
      <c r="A87" s="14" t="s">
        <v>445</v>
      </c>
      <c r="B87" s="11" t="s">
        <v>427</v>
      </c>
      <c r="C87" s="11" t="s">
        <v>433</v>
      </c>
      <c r="D87" s="11" t="s">
        <v>426</v>
      </c>
      <c r="E87" s="11" t="s">
        <v>446</v>
      </c>
      <c r="F87" s="11" t="s">
        <v>447</v>
      </c>
      <c r="G87" s="11" t="s">
        <v>448</v>
      </c>
      <c r="H87" s="11"/>
      <c r="I87" s="11"/>
      <c r="J87" s="11"/>
      <c r="K87" s="11"/>
      <c r="L87" s="11"/>
    </row>
    <row r="88" customFormat="false" ht="46.5" hidden="false" customHeight="true" outlineLevel="0" collapsed="false">
      <c r="A88" s="14" t="s">
        <v>449</v>
      </c>
      <c r="B88" s="11" t="s">
        <v>427</v>
      </c>
      <c r="C88" s="11" t="s">
        <v>433</v>
      </c>
      <c r="D88" s="11" t="s">
        <v>445</v>
      </c>
      <c r="E88" s="11" t="s">
        <v>450</v>
      </c>
      <c r="F88" s="11" t="s">
        <v>451</v>
      </c>
      <c r="G88" s="11" t="s">
        <v>452</v>
      </c>
      <c r="H88" s="11"/>
      <c r="I88" s="11"/>
      <c r="J88" s="11"/>
      <c r="K88" s="11"/>
      <c r="L88" s="11"/>
    </row>
    <row r="89" customFormat="false" ht="46.5" hidden="false" customHeight="true" outlineLevel="0" collapsed="false">
      <c r="A89" s="14" t="s">
        <v>453</v>
      </c>
      <c r="B89" s="11" t="s">
        <v>427</v>
      </c>
      <c r="C89" s="11" t="s">
        <v>428</v>
      </c>
      <c r="D89" s="11" t="s">
        <v>426</v>
      </c>
      <c r="E89" s="11" t="s">
        <v>454</v>
      </c>
      <c r="F89" s="11" t="s">
        <v>455</v>
      </c>
      <c r="G89" s="11" t="s">
        <v>456</v>
      </c>
      <c r="H89" s="11"/>
      <c r="I89" s="11"/>
      <c r="J89" s="11"/>
      <c r="K89" s="11"/>
      <c r="L89" s="11"/>
    </row>
    <row r="90" customFormat="false" ht="46.5" hidden="false" customHeight="true" outlineLevel="0" collapsed="false">
      <c r="A90" s="12" t="s">
        <v>457</v>
      </c>
      <c r="B90" s="13" t="s">
        <v>458</v>
      </c>
      <c r="C90" s="13" t="s">
        <v>459</v>
      </c>
      <c r="D90" s="13" t="s">
        <v>105</v>
      </c>
      <c r="E90" s="13" t="s">
        <v>460</v>
      </c>
      <c r="F90" s="13" t="s">
        <v>461</v>
      </c>
      <c r="G90" s="13" t="s">
        <v>462</v>
      </c>
      <c r="H90" s="13"/>
      <c r="I90" s="13"/>
      <c r="J90" s="13"/>
      <c r="K90" s="13"/>
      <c r="L90" s="13"/>
    </row>
    <row r="91" customFormat="false" ht="46.5" hidden="false" customHeight="true" outlineLevel="0" collapsed="false">
      <c r="A91" s="14" t="s">
        <v>463</v>
      </c>
      <c r="B91" s="11" t="s">
        <v>458</v>
      </c>
      <c r="C91" s="11" t="s">
        <v>464</v>
      </c>
      <c r="D91" s="11" t="s">
        <v>457</v>
      </c>
      <c r="E91" s="11" t="s">
        <v>465</v>
      </c>
      <c r="F91" s="11" t="s">
        <v>466</v>
      </c>
      <c r="G91" s="11" t="s">
        <v>467</v>
      </c>
      <c r="H91" s="11"/>
      <c r="I91" s="11"/>
      <c r="J91" s="11"/>
      <c r="K91" s="11"/>
      <c r="L91" s="11"/>
    </row>
    <row r="92" customFormat="false" ht="46.5" hidden="false" customHeight="true" outlineLevel="0" collapsed="false">
      <c r="A92" s="14" t="s">
        <v>468</v>
      </c>
      <c r="B92" s="11" t="s">
        <v>458</v>
      </c>
      <c r="C92" s="11" t="s">
        <v>459</v>
      </c>
      <c r="D92" s="11" t="s">
        <v>463</v>
      </c>
      <c r="E92" s="11" t="s">
        <v>469</v>
      </c>
      <c r="F92" s="11" t="s">
        <v>470</v>
      </c>
      <c r="G92" s="11" t="s">
        <v>471</v>
      </c>
      <c r="H92" s="11"/>
      <c r="I92" s="11"/>
      <c r="J92" s="11"/>
      <c r="K92" s="11"/>
      <c r="L92" s="11"/>
    </row>
    <row r="93" customFormat="false" ht="46.5" hidden="false" customHeight="true" outlineLevel="0" collapsed="false">
      <c r="A93" s="12" t="s">
        <v>472</v>
      </c>
      <c r="B93" s="13" t="s">
        <v>473</v>
      </c>
      <c r="C93" s="13" t="s">
        <v>474</v>
      </c>
      <c r="D93" s="13" t="s">
        <v>105</v>
      </c>
      <c r="E93" s="13" t="s">
        <v>475</v>
      </c>
      <c r="F93" s="13" t="s">
        <v>476</v>
      </c>
      <c r="G93" s="13" t="s">
        <v>477</v>
      </c>
      <c r="H93" s="13"/>
      <c r="I93" s="13"/>
      <c r="J93" s="13"/>
      <c r="K93" s="13"/>
      <c r="L93" s="13"/>
    </row>
    <row r="94" customFormat="false" ht="46.5" hidden="false" customHeight="true" outlineLevel="0" collapsed="false">
      <c r="A94" s="14" t="s">
        <v>478</v>
      </c>
      <c r="B94" s="11" t="s">
        <v>473</v>
      </c>
      <c r="C94" s="11" t="s">
        <v>63</v>
      </c>
      <c r="D94" s="11" t="s">
        <v>472</v>
      </c>
      <c r="E94" s="11" t="s">
        <v>479</v>
      </c>
      <c r="F94" s="11" t="s">
        <v>480</v>
      </c>
      <c r="G94" s="11" t="s">
        <v>481</v>
      </c>
      <c r="H94" s="11"/>
      <c r="I94" s="11"/>
      <c r="J94" s="11"/>
      <c r="K94" s="11"/>
      <c r="L94" s="11"/>
    </row>
    <row r="95" customFormat="false" ht="60" hidden="false" customHeight="true" outlineLevel="0" collapsed="false">
      <c r="A95" s="14" t="s">
        <v>482</v>
      </c>
      <c r="B95" s="11" t="s">
        <v>473</v>
      </c>
      <c r="C95" s="11" t="s">
        <v>483</v>
      </c>
      <c r="D95" s="11" t="s">
        <v>472</v>
      </c>
      <c r="E95" s="11" t="s">
        <v>484</v>
      </c>
      <c r="F95" s="11" t="s">
        <v>485</v>
      </c>
      <c r="G95" s="11" t="s">
        <v>486</v>
      </c>
      <c r="H95" s="11"/>
      <c r="I95" s="11"/>
      <c r="J95" s="11"/>
      <c r="K95" s="11"/>
      <c r="L95" s="11"/>
    </row>
    <row r="96" customFormat="false" ht="46.5" hidden="false" customHeight="true" outlineLevel="0" collapsed="false">
      <c r="A96" s="14" t="s">
        <v>487</v>
      </c>
      <c r="B96" s="11" t="s">
        <v>473</v>
      </c>
      <c r="C96" s="11" t="s">
        <v>488</v>
      </c>
      <c r="D96" s="11" t="s">
        <v>472</v>
      </c>
      <c r="E96" s="11" t="s">
        <v>489</v>
      </c>
      <c r="F96" s="11" t="s">
        <v>490</v>
      </c>
      <c r="G96" s="11" t="s">
        <v>491</v>
      </c>
      <c r="H96" s="11"/>
      <c r="I96" s="11"/>
      <c r="J96" s="11"/>
      <c r="K96" s="11"/>
      <c r="L96" s="11"/>
    </row>
    <row r="97" customFormat="false" ht="46.5" hidden="false" customHeight="true" outlineLevel="0" collapsed="false">
      <c r="A97" s="14" t="s">
        <v>492</v>
      </c>
      <c r="B97" s="11" t="s">
        <v>473</v>
      </c>
      <c r="C97" s="11" t="s">
        <v>37</v>
      </c>
      <c r="D97" s="11" t="s">
        <v>472</v>
      </c>
      <c r="E97" s="11" t="s">
        <v>493</v>
      </c>
      <c r="F97" s="11" t="s">
        <v>494</v>
      </c>
      <c r="G97" s="11" t="s">
        <v>495</v>
      </c>
      <c r="H97" s="11"/>
      <c r="I97" s="11"/>
      <c r="J97" s="11"/>
      <c r="K97" s="11"/>
      <c r="L97" s="11"/>
    </row>
    <row r="98" customFormat="false" ht="60" hidden="false" customHeight="true" outlineLevel="0" collapsed="false">
      <c r="A98" s="14" t="s">
        <v>496</v>
      </c>
      <c r="B98" s="11" t="s">
        <v>473</v>
      </c>
      <c r="C98" s="11" t="s">
        <v>54</v>
      </c>
      <c r="D98" s="11" t="s">
        <v>492</v>
      </c>
      <c r="E98" s="11" t="s">
        <v>497</v>
      </c>
      <c r="F98" s="11" t="s">
        <v>498</v>
      </c>
      <c r="G98" s="11" t="s">
        <v>499</v>
      </c>
      <c r="H98" s="11"/>
      <c r="I98" s="11"/>
      <c r="J98" s="11"/>
      <c r="K98" s="11"/>
      <c r="L98" s="11"/>
    </row>
    <row r="99" customFormat="false" ht="46.5" hidden="false" customHeight="true" outlineLevel="0" collapsed="false">
      <c r="A99" s="14" t="s">
        <v>500</v>
      </c>
      <c r="B99" s="11" t="s">
        <v>473</v>
      </c>
      <c r="C99" s="11" t="s">
        <v>37</v>
      </c>
      <c r="D99" s="11" t="s">
        <v>492</v>
      </c>
      <c r="E99" s="11" t="s">
        <v>501</v>
      </c>
      <c r="F99" s="11" t="s">
        <v>502</v>
      </c>
      <c r="G99" s="11" t="s">
        <v>503</v>
      </c>
      <c r="H99" s="11"/>
      <c r="I99" s="11"/>
      <c r="J99" s="11"/>
      <c r="K99" s="11"/>
      <c r="L99" s="11"/>
    </row>
    <row r="100" customFormat="false" ht="46.5" hidden="false" customHeight="true" outlineLevel="0" collapsed="false">
      <c r="A100" s="14" t="s">
        <v>504</v>
      </c>
      <c r="B100" s="11" t="s">
        <v>473</v>
      </c>
      <c r="C100" s="11" t="s">
        <v>37</v>
      </c>
      <c r="D100" s="11" t="s">
        <v>492</v>
      </c>
      <c r="E100" s="11" t="s">
        <v>505</v>
      </c>
      <c r="F100" s="11" t="s">
        <v>506</v>
      </c>
      <c r="G100" s="11" t="s">
        <v>507</v>
      </c>
      <c r="H100" s="11"/>
      <c r="I100" s="11"/>
      <c r="J100" s="11"/>
      <c r="K100" s="11"/>
      <c r="L100" s="11"/>
    </row>
    <row r="101" customFormat="false" ht="46.5" hidden="false" customHeight="true" outlineLevel="0" collapsed="false">
      <c r="A101" s="12" t="s">
        <v>508</v>
      </c>
      <c r="B101" s="13" t="s">
        <v>509</v>
      </c>
      <c r="C101" s="13" t="s">
        <v>510</v>
      </c>
      <c r="D101" s="13" t="s">
        <v>105</v>
      </c>
      <c r="E101" s="13" t="s">
        <v>511</v>
      </c>
      <c r="F101" s="13" t="s">
        <v>512</v>
      </c>
      <c r="G101" s="13" t="s">
        <v>513</v>
      </c>
      <c r="H101" s="13"/>
      <c r="I101" s="13"/>
      <c r="J101" s="13"/>
      <c r="K101" s="13"/>
      <c r="L101" s="13"/>
    </row>
    <row r="102" customFormat="false" ht="46.5" hidden="false" customHeight="true" outlineLevel="0" collapsed="false">
      <c r="A102" s="14" t="s">
        <v>514</v>
      </c>
      <c r="B102" s="11" t="s">
        <v>509</v>
      </c>
      <c r="C102" s="11" t="s">
        <v>515</v>
      </c>
      <c r="D102" s="11" t="s">
        <v>508</v>
      </c>
      <c r="E102" s="11" t="s">
        <v>516</v>
      </c>
      <c r="F102" s="11" t="s">
        <v>517</v>
      </c>
      <c r="G102" s="11" t="s">
        <v>518</v>
      </c>
      <c r="H102" s="11"/>
      <c r="I102" s="11"/>
      <c r="J102" s="11"/>
      <c r="K102" s="11"/>
      <c r="L102" s="11"/>
    </row>
    <row r="103" customFormat="false" ht="46.5" hidden="false" customHeight="true" outlineLevel="0" collapsed="false">
      <c r="A103" s="14" t="s">
        <v>519</v>
      </c>
      <c r="B103" s="11" t="s">
        <v>509</v>
      </c>
      <c r="C103" s="11" t="s">
        <v>63</v>
      </c>
      <c r="D103" s="11" t="s">
        <v>508</v>
      </c>
      <c r="E103" s="11" t="s">
        <v>520</v>
      </c>
      <c r="F103" s="11" t="s">
        <v>521</v>
      </c>
      <c r="G103" s="11" t="s">
        <v>522</v>
      </c>
      <c r="H103" s="11"/>
      <c r="I103" s="11"/>
      <c r="J103" s="11"/>
      <c r="K103" s="11"/>
      <c r="L103" s="11"/>
    </row>
    <row r="104" customFormat="false" ht="46.5" hidden="false" customHeight="true" outlineLevel="0" collapsed="false">
      <c r="A104" s="14" t="s">
        <v>523</v>
      </c>
      <c r="B104" s="11" t="s">
        <v>509</v>
      </c>
      <c r="C104" s="11" t="s">
        <v>59</v>
      </c>
      <c r="D104" s="11" t="s">
        <v>508</v>
      </c>
      <c r="E104" s="11" t="s">
        <v>524</v>
      </c>
      <c r="F104" s="11" t="s">
        <v>525</v>
      </c>
      <c r="G104" s="11" t="s">
        <v>526</v>
      </c>
      <c r="H104" s="11"/>
      <c r="I104" s="11"/>
      <c r="J104" s="11"/>
      <c r="K104" s="11"/>
      <c r="L104" s="11"/>
    </row>
    <row r="105" customFormat="false" ht="46.5" hidden="false" customHeight="true" outlineLevel="0" collapsed="false">
      <c r="A105" s="14" t="s">
        <v>527</v>
      </c>
      <c r="B105" s="11" t="s">
        <v>509</v>
      </c>
      <c r="C105" s="11" t="s">
        <v>46</v>
      </c>
      <c r="D105" s="11" t="s">
        <v>87</v>
      </c>
      <c r="E105" s="11" t="s">
        <v>528</v>
      </c>
      <c r="F105" s="11" t="s">
        <v>529</v>
      </c>
      <c r="G105" s="11" t="s">
        <v>530</v>
      </c>
      <c r="H105" s="11"/>
      <c r="I105" s="11"/>
      <c r="J105" s="11"/>
      <c r="K105" s="11"/>
      <c r="L105" s="11"/>
    </row>
    <row r="106" customFormat="false" ht="46.5" hidden="false" customHeight="true" outlineLevel="0" collapsed="false">
      <c r="A106" s="14" t="s">
        <v>531</v>
      </c>
      <c r="B106" s="11" t="s">
        <v>509</v>
      </c>
      <c r="C106" s="11" t="s">
        <v>46</v>
      </c>
      <c r="D106" s="11" t="s">
        <v>527</v>
      </c>
      <c r="E106" s="11" t="s">
        <v>532</v>
      </c>
      <c r="F106" s="11" t="s">
        <v>533</v>
      </c>
      <c r="G106" s="11" t="s">
        <v>534</v>
      </c>
      <c r="H106" s="11"/>
      <c r="I106" s="11"/>
      <c r="J106" s="11"/>
      <c r="K106" s="11"/>
      <c r="L106" s="11"/>
    </row>
    <row r="107" customFormat="false" ht="46.5" hidden="false" customHeight="true" outlineLevel="0" collapsed="false">
      <c r="A107" s="14" t="s">
        <v>535</v>
      </c>
      <c r="B107" s="11" t="s">
        <v>509</v>
      </c>
      <c r="C107" s="11" t="s">
        <v>46</v>
      </c>
      <c r="D107" s="11" t="s">
        <v>508</v>
      </c>
      <c r="E107" s="11" t="s">
        <v>536</v>
      </c>
      <c r="F107" s="11" t="s">
        <v>537</v>
      </c>
      <c r="G107" s="11" t="s">
        <v>538</v>
      </c>
      <c r="H107" s="11"/>
      <c r="I107" s="11"/>
      <c r="J107" s="11"/>
      <c r="K107" s="11"/>
      <c r="L107" s="11"/>
    </row>
    <row r="108" customFormat="false" ht="46.5" hidden="false" customHeight="true" outlineLevel="0" collapsed="false">
      <c r="A108" s="14" t="s">
        <v>539</v>
      </c>
      <c r="B108" s="11" t="s">
        <v>509</v>
      </c>
      <c r="C108" s="11" t="s">
        <v>515</v>
      </c>
      <c r="D108" s="11" t="s">
        <v>514</v>
      </c>
      <c r="E108" s="11" t="s">
        <v>540</v>
      </c>
      <c r="F108" s="11" t="s">
        <v>541</v>
      </c>
      <c r="G108" s="11" t="s">
        <v>542</v>
      </c>
      <c r="H108" s="11"/>
      <c r="I108" s="11"/>
      <c r="J108" s="11"/>
      <c r="K108" s="11"/>
      <c r="L108" s="11"/>
    </row>
    <row r="109" customFormat="false" ht="60" hidden="false" customHeight="true" outlineLevel="0" collapsed="false">
      <c r="A109" s="12" t="s">
        <v>543</v>
      </c>
      <c r="B109" s="13" t="s">
        <v>544</v>
      </c>
      <c r="C109" s="13" t="s">
        <v>545</v>
      </c>
      <c r="D109" s="13" t="s">
        <v>105</v>
      </c>
      <c r="E109" s="13" t="s">
        <v>546</v>
      </c>
      <c r="F109" s="13" t="s">
        <v>547</v>
      </c>
      <c r="G109" s="13" t="s">
        <v>548</v>
      </c>
      <c r="H109" s="13"/>
      <c r="I109" s="13"/>
      <c r="J109" s="13"/>
      <c r="K109" s="13"/>
      <c r="L109" s="13"/>
    </row>
    <row r="110" customFormat="false" ht="46.5" hidden="false" customHeight="true" outlineLevel="0" collapsed="false">
      <c r="A110" s="14" t="s">
        <v>549</v>
      </c>
      <c r="B110" s="11" t="s">
        <v>544</v>
      </c>
      <c r="C110" s="11" t="s">
        <v>545</v>
      </c>
      <c r="D110" s="11" t="s">
        <v>543</v>
      </c>
      <c r="E110" s="11" t="s">
        <v>550</v>
      </c>
      <c r="F110" s="11" t="s">
        <v>551</v>
      </c>
      <c r="G110" s="11" t="s">
        <v>552</v>
      </c>
      <c r="H110" s="11"/>
      <c r="I110" s="11"/>
      <c r="J110" s="11"/>
      <c r="K110" s="11"/>
      <c r="L110" s="11"/>
    </row>
    <row r="111" customFormat="false" ht="46.5" hidden="false" customHeight="true" outlineLevel="0" collapsed="false">
      <c r="A111" s="14" t="s">
        <v>553</v>
      </c>
      <c r="B111" s="11" t="s">
        <v>544</v>
      </c>
      <c r="C111" s="11" t="s">
        <v>554</v>
      </c>
      <c r="D111" s="11" t="s">
        <v>543</v>
      </c>
      <c r="E111" s="11" t="s">
        <v>555</v>
      </c>
      <c r="F111" s="11" t="s">
        <v>556</v>
      </c>
      <c r="G111" s="11" t="s">
        <v>557</v>
      </c>
      <c r="H111" s="11"/>
      <c r="I111" s="11"/>
      <c r="J111" s="11"/>
      <c r="K111" s="11"/>
      <c r="L111" s="11"/>
    </row>
    <row r="112" customFormat="false" ht="46.5" hidden="false" customHeight="true" outlineLevel="0" collapsed="false">
      <c r="A112" s="14" t="s">
        <v>558</v>
      </c>
      <c r="B112" s="11" t="s">
        <v>544</v>
      </c>
      <c r="C112" s="11" t="s">
        <v>545</v>
      </c>
      <c r="D112" s="11" t="s">
        <v>543</v>
      </c>
      <c r="E112" s="11" t="s">
        <v>559</v>
      </c>
      <c r="F112" s="11" t="s">
        <v>560</v>
      </c>
      <c r="G112" s="11" t="s">
        <v>561</v>
      </c>
      <c r="H112" s="11"/>
      <c r="I112" s="11"/>
      <c r="J112" s="11"/>
      <c r="K112" s="11"/>
      <c r="L112" s="11"/>
    </row>
    <row r="113" customFormat="false" ht="46.5" hidden="false" customHeight="true" outlineLevel="0" collapsed="false">
      <c r="A113" s="14" t="s">
        <v>562</v>
      </c>
      <c r="B113" s="11" t="s">
        <v>544</v>
      </c>
      <c r="C113" s="11" t="s">
        <v>59</v>
      </c>
      <c r="D113" s="11" t="s">
        <v>558</v>
      </c>
      <c r="E113" s="11" t="s">
        <v>563</v>
      </c>
      <c r="F113" s="11" t="s">
        <v>564</v>
      </c>
      <c r="G113" s="11" t="s">
        <v>565</v>
      </c>
      <c r="H113" s="11"/>
      <c r="I113" s="11"/>
      <c r="J113" s="11"/>
      <c r="K113" s="11"/>
      <c r="L113" s="11"/>
    </row>
    <row r="114" customFormat="false" ht="46.5" hidden="false" customHeight="true" outlineLevel="0" collapsed="false">
      <c r="A114" s="14" t="s">
        <v>566</v>
      </c>
      <c r="B114" s="11" t="s">
        <v>544</v>
      </c>
      <c r="C114" s="11" t="s">
        <v>567</v>
      </c>
      <c r="D114" s="11" t="s">
        <v>553</v>
      </c>
      <c r="E114" s="11" t="s">
        <v>568</v>
      </c>
      <c r="F114" s="11" t="s">
        <v>569</v>
      </c>
      <c r="G114" s="11" t="s">
        <v>570</v>
      </c>
      <c r="H114" s="11"/>
      <c r="I114" s="11"/>
      <c r="J114" s="11"/>
      <c r="K114" s="11"/>
      <c r="L114" s="11"/>
    </row>
    <row r="115" customFormat="false" ht="46.5" hidden="false" customHeight="true" outlineLevel="0" collapsed="false">
      <c r="A115" s="14" t="s">
        <v>571</v>
      </c>
      <c r="B115" s="11" t="s">
        <v>544</v>
      </c>
      <c r="C115" s="11" t="s">
        <v>545</v>
      </c>
      <c r="D115" s="11" t="s">
        <v>543</v>
      </c>
      <c r="E115" s="11" t="s">
        <v>572</v>
      </c>
      <c r="F115" s="11" t="s">
        <v>573</v>
      </c>
      <c r="G115" s="11" t="s">
        <v>574</v>
      </c>
      <c r="H115" s="11"/>
      <c r="I115" s="11"/>
      <c r="J115" s="11"/>
      <c r="K115" s="11"/>
      <c r="L115" s="11"/>
    </row>
    <row r="116" customFormat="false" ht="46.5" hidden="false" customHeight="true" outlineLevel="0" collapsed="false">
      <c r="A116" s="12" t="s">
        <v>575</v>
      </c>
      <c r="B116" s="13" t="s">
        <v>576</v>
      </c>
      <c r="C116" s="13" t="s">
        <v>577</v>
      </c>
      <c r="D116" s="13" t="s">
        <v>105</v>
      </c>
      <c r="E116" s="13" t="s">
        <v>578</v>
      </c>
      <c r="F116" s="13" t="s">
        <v>579</v>
      </c>
      <c r="G116" s="13" t="s">
        <v>580</v>
      </c>
      <c r="H116" s="13"/>
      <c r="I116" s="13"/>
      <c r="J116" s="13"/>
      <c r="K116" s="13"/>
      <c r="L116" s="13"/>
    </row>
    <row r="117" customFormat="false" ht="46.5" hidden="false" customHeight="true" outlineLevel="0" collapsed="false">
      <c r="A117" s="14" t="s">
        <v>581</v>
      </c>
      <c r="B117" s="11" t="s">
        <v>576</v>
      </c>
      <c r="C117" s="11" t="s">
        <v>577</v>
      </c>
      <c r="D117" s="11" t="s">
        <v>575</v>
      </c>
      <c r="E117" s="11" t="s">
        <v>582</v>
      </c>
      <c r="F117" s="11" t="s">
        <v>583</v>
      </c>
      <c r="G117" s="11" t="s">
        <v>584</v>
      </c>
      <c r="H117" s="11"/>
      <c r="I117" s="11"/>
      <c r="J117" s="11"/>
      <c r="K117" s="11"/>
      <c r="L117" s="11"/>
    </row>
    <row r="118" customFormat="false" ht="46.5" hidden="false" customHeight="true" outlineLevel="0" collapsed="false">
      <c r="A118" s="14" t="s">
        <v>585</v>
      </c>
      <c r="B118" s="11" t="s">
        <v>576</v>
      </c>
      <c r="C118" s="11" t="s">
        <v>577</v>
      </c>
      <c r="D118" s="11" t="s">
        <v>575</v>
      </c>
      <c r="E118" s="11" t="s">
        <v>586</v>
      </c>
      <c r="F118" s="11" t="s">
        <v>587</v>
      </c>
      <c r="G118" s="11" t="s">
        <v>588</v>
      </c>
      <c r="H118" s="11"/>
      <c r="I118" s="11"/>
      <c r="J118" s="11"/>
      <c r="K118" s="11"/>
      <c r="L118" s="11"/>
    </row>
    <row r="119" customFormat="false" ht="46.5" hidden="false" customHeight="true" outlineLevel="0" collapsed="false">
      <c r="A119" s="14" t="s">
        <v>589</v>
      </c>
      <c r="B119" s="11" t="s">
        <v>576</v>
      </c>
      <c r="C119" s="11" t="s">
        <v>590</v>
      </c>
      <c r="D119" s="11" t="s">
        <v>575</v>
      </c>
      <c r="E119" s="11" t="s">
        <v>591</v>
      </c>
      <c r="F119" s="11" t="s">
        <v>592</v>
      </c>
      <c r="G119" s="11" t="s">
        <v>593</v>
      </c>
      <c r="H119" s="11"/>
      <c r="I119" s="11"/>
      <c r="J119" s="11"/>
      <c r="K119" s="11"/>
      <c r="L119" s="11"/>
    </row>
    <row r="120" customFormat="false" ht="46.5" hidden="false" customHeight="true" outlineLevel="0" collapsed="false">
      <c r="A120" s="14" t="s">
        <v>594</v>
      </c>
      <c r="B120" s="11" t="s">
        <v>576</v>
      </c>
      <c r="C120" s="11" t="s">
        <v>577</v>
      </c>
      <c r="D120" s="11" t="s">
        <v>575</v>
      </c>
      <c r="E120" s="11" t="s">
        <v>595</v>
      </c>
      <c r="F120" s="11" t="s">
        <v>596</v>
      </c>
      <c r="G120" s="11" t="s">
        <v>597</v>
      </c>
      <c r="H120" s="11"/>
      <c r="I120" s="11"/>
      <c r="J120" s="11"/>
      <c r="K120" s="11"/>
      <c r="L120" s="11"/>
    </row>
    <row r="121" customFormat="false" ht="46.5" hidden="false" customHeight="true" outlineLevel="0" collapsed="false">
      <c r="A121" s="14" t="s">
        <v>598</v>
      </c>
      <c r="B121" s="11" t="s">
        <v>576</v>
      </c>
      <c r="C121" s="11" t="s">
        <v>599</v>
      </c>
      <c r="D121" s="11" t="s">
        <v>575</v>
      </c>
      <c r="E121" s="11" t="s">
        <v>600</v>
      </c>
      <c r="F121" s="11" t="s">
        <v>601</v>
      </c>
      <c r="G121" s="11" t="s">
        <v>602</v>
      </c>
      <c r="H121" s="11"/>
      <c r="I121" s="11"/>
      <c r="J121" s="11"/>
      <c r="K121" s="11"/>
      <c r="L121" s="11"/>
    </row>
    <row r="122" customFormat="false" ht="46.5" hidden="false" customHeight="true" outlineLevel="0" collapsed="false">
      <c r="A122" s="14" t="s">
        <v>603</v>
      </c>
      <c r="B122" s="11" t="s">
        <v>576</v>
      </c>
      <c r="C122" s="11" t="s">
        <v>62</v>
      </c>
      <c r="D122" s="11" t="s">
        <v>575</v>
      </c>
      <c r="E122" s="11" t="s">
        <v>604</v>
      </c>
      <c r="F122" s="11" t="s">
        <v>605</v>
      </c>
      <c r="G122" s="11" t="s">
        <v>606</v>
      </c>
      <c r="H122" s="11"/>
      <c r="I122" s="11"/>
      <c r="J122" s="11"/>
      <c r="K122" s="11"/>
      <c r="L122" s="11"/>
    </row>
    <row r="123" customFormat="false" ht="46.5" hidden="false" customHeight="true" outlineLevel="0" collapsed="false">
      <c r="A123" s="12" t="s">
        <v>607</v>
      </c>
      <c r="B123" s="13" t="s">
        <v>608</v>
      </c>
      <c r="C123" s="13" t="s">
        <v>609</v>
      </c>
      <c r="D123" s="13" t="s">
        <v>105</v>
      </c>
      <c r="E123" s="13" t="s">
        <v>610</v>
      </c>
      <c r="F123" s="13" t="s">
        <v>611</v>
      </c>
      <c r="G123" s="13" t="s">
        <v>612</v>
      </c>
      <c r="H123" s="13"/>
      <c r="I123" s="13"/>
      <c r="J123" s="13"/>
      <c r="K123" s="13"/>
      <c r="L123" s="13"/>
    </row>
    <row r="124" customFormat="false" ht="46.5" hidden="false" customHeight="true" outlineLevel="0" collapsed="false">
      <c r="A124" s="14" t="s">
        <v>613</v>
      </c>
      <c r="B124" s="11" t="s">
        <v>608</v>
      </c>
      <c r="C124" s="11" t="s">
        <v>609</v>
      </c>
      <c r="D124" s="11" t="s">
        <v>607</v>
      </c>
      <c r="E124" s="11" t="s">
        <v>614</v>
      </c>
      <c r="F124" s="11" t="s">
        <v>615</v>
      </c>
      <c r="G124" s="11" t="s">
        <v>616</v>
      </c>
      <c r="H124" s="11"/>
      <c r="I124" s="11"/>
      <c r="J124" s="11"/>
      <c r="K124" s="11"/>
      <c r="L124" s="11"/>
    </row>
    <row r="125" customFormat="false" ht="46.5" hidden="false" customHeight="true" outlineLevel="0" collapsed="false">
      <c r="A125" s="14" t="s">
        <v>617</v>
      </c>
      <c r="B125" s="11" t="s">
        <v>608</v>
      </c>
      <c r="C125" s="11" t="s">
        <v>609</v>
      </c>
      <c r="D125" s="11" t="s">
        <v>607</v>
      </c>
      <c r="E125" s="11" t="s">
        <v>618</v>
      </c>
      <c r="F125" s="11" t="s">
        <v>619</v>
      </c>
      <c r="G125" s="11" t="s">
        <v>620</v>
      </c>
      <c r="H125" s="11"/>
      <c r="I125" s="11"/>
      <c r="J125" s="11"/>
      <c r="K125" s="11"/>
      <c r="L125" s="11"/>
    </row>
    <row r="126" customFormat="false" ht="46.5" hidden="false" customHeight="true" outlineLevel="0" collapsed="false">
      <c r="A126" s="12" t="s">
        <v>621</v>
      </c>
      <c r="B126" s="13" t="s">
        <v>622</v>
      </c>
      <c r="C126" s="13" t="s">
        <v>623</v>
      </c>
      <c r="D126" s="13" t="s">
        <v>105</v>
      </c>
      <c r="E126" s="13" t="s">
        <v>624</v>
      </c>
      <c r="F126" s="13" t="s">
        <v>625</v>
      </c>
      <c r="G126" s="13" t="s">
        <v>626</v>
      </c>
      <c r="H126" s="13"/>
      <c r="I126" s="13"/>
      <c r="J126" s="13"/>
      <c r="K126" s="13"/>
      <c r="L126" s="13"/>
    </row>
    <row r="127" customFormat="false" ht="46.5" hidden="false" customHeight="true" outlineLevel="0" collapsed="false">
      <c r="A127" s="14" t="s">
        <v>627</v>
      </c>
      <c r="B127" s="11" t="s">
        <v>622</v>
      </c>
      <c r="C127" s="11" t="s">
        <v>623</v>
      </c>
      <c r="D127" s="11" t="s">
        <v>621</v>
      </c>
      <c r="E127" s="11" t="s">
        <v>628</v>
      </c>
      <c r="F127" s="11" t="s">
        <v>629</v>
      </c>
      <c r="G127" s="11" t="s">
        <v>630</v>
      </c>
      <c r="H127" s="11"/>
      <c r="I127" s="11"/>
      <c r="J127" s="11"/>
      <c r="K127" s="11"/>
      <c r="L127" s="11"/>
    </row>
    <row r="128" customFormat="false" ht="46.5" hidden="false" customHeight="true" outlineLevel="0" collapsed="false">
      <c r="A128" s="14" t="s">
        <v>631</v>
      </c>
      <c r="B128" s="11" t="s">
        <v>622</v>
      </c>
      <c r="C128" s="11" t="s">
        <v>623</v>
      </c>
      <c r="D128" s="11" t="s">
        <v>621</v>
      </c>
      <c r="E128" s="11" t="s">
        <v>632</v>
      </c>
      <c r="F128" s="11" t="s">
        <v>633</v>
      </c>
      <c r="G128" s="11" t="s">
        <v>634</v>
      </c>
      <c r="H128" s="11"/>
      <c r="I128" s="11"/>
      <c r="J128" s="11"/>
      <c r="K128" s="11"/>
      <c r="L128" s="11"/>
    </row>
    <row r="129" customFormat="false" ht="46.5" hidden="false" customHeight="true" outlineLevel="0" collapsed="false">
      <c r="A129" s="14" t="s">
        <v>635</v>
      </c>
      <c r="B129" s="11" t="s">
        <v>622</v>
      </c>
      <c r="C129" s="11" t="s">
        <v>623</v>
      </c>
      <c r="D129" s="11" t="s">
        <v>621</v>
      </c>
      <c r="E129" s="11" t="s">
        <v>636</v>
      </c>
      <c r="F129" s="11" t="s">
        <v>637</v>
      </c>
      <c r="G129" s="11" t="s">
        <v>638</v>
      </c>
      <c r="H129" s="11"/>
      <c r="I129" s="11"/>
      <c r="J129" s="11"/>
      <c r="K129" s="11"/>
      <c r="L129" s="11"/>
    </row>
    <row r="130" customFormat="false" ht="46.5" hidden="false" customHeight="true" outlineLevel="0" collapsed="false">
      <c r="A130" s="14" t="s">
        <v>639</v>
      </c>
      <c r="B130" s="11" t="s">
        <v>622</v>
      </c>
      <c r="C130" s="11" t="s">
        <v>623</v>
      </c>
      <c r="D130" s="11" t="s">
        <v>621</v>
      </c>
      <c r="E130" s="11" t="s">
        <v>640</v>
      </c>
      <c r="F130" s="11" t="s">
        <v>641</v>
      </c>
      <c r="G130" s="11" t="s">
        <v>642</v>
      </c>
      <c r="H130" s="11"/>
      <c r="I130" s="11"/>
      <c r="J130" s="11"/>
      <c r="K130" s="11"/>
      <c r="L130" s="11"/>
    </row>
    <row r="131" customFormat="false" ht="46.5" hidden="false" customHeight="true" outlineLevel="0" collapsed="false">
      <c r="A131" s="12" t="s">
        <v>643</v>
      </c>
      <c r="B131" s="13" t="s">
        <v>644</v>
      </c>
      <c r="C131" s="13" t="s">
        <v>645</v>
      </c>
      <c r="D131" s="13" t="s">
        <v>105</v>
      </c>
      <c r="E131" s="13" t="s">
        <v>646</v>
      </c>
      <c r="F131" s="13" t="s">
        <v>647</v>
      </c>
      <c r="G131" s="13" t="s">
        <v>648</v>
      </c>
      <c r="H131" s="13"/>
      <c r="I131" s="13"/>
      <c r="J131" s="13"/>
      <c r="K131" s="13"/>
      <c r="L131" s="13"/>
    </row>
    <row r="132" customFormat="false" ht="46.5" hidden="false" customHeight="true" outlineLevel="0" collapsed="false">
      <c r="A132" s="14" t="s">
        <v>649</v>
      </c>
      <c r="B132" s="11" t="s">
        <v>644</v>
      </c>
      <c r="C132" s="11" t="s">
        <v>650</v>
      </c>
      <c r="D132" s="11" t="s">
        <v>643</v>
      </c>
      <c r="E132" s="11" t="s">
        <v>651</v>
      </c>
      <c r="F132" s="11" t="s">
        <v>652</v>
      </c>
      <c r="G132" s="11" t="s">
        <v>653</v>
      </c>
      <c r="H132" s="11"/>
      <c r="I132" s="11"/>
      <c r="J132" s="11"/>
      <c r="K132" s="11"/>
      <c r="L132" s="11"/>
    </row>
    <row r="133" customFormat="false" ht="46.5" hidden="false" customHeight="true" outlineLevel="0" collapsed="false">
      <c r="A133" s="14" t="s">
        <v>654</v>
      </c>
      <c r="B133" s="11" t="s">
        <v>644</v>
      </c>
      <c r="C133" s="11" t="s">
        <v>650</v>
      </c>
      <c r="D133" s="11" t="s">
        <v>643</v>
      </c>
      <c r="E133" s="11" t="s">
        <v>655</v>
      </c>
      <c r="F133" s="11" t="s">
        <v>656</v>
      </c>
      <c r="G133" s="11" t="s">
        <v>657</v>
      </c>
      <c r="H133" s="11"/>
      <c r="I133" s="11"/>
      <c r="J133" s="11"/>
      <c r="K133" s="11"/>
      <c r="L133" s="11"/>
    </row>
    <row r="134" customFormat="false" ht="46.5" hidden="false" customHeight="true" outlineLevel="0" collapsed="false">
      <c r="A134" s="14" t="s">
        <v>658</v>
      </c>
      <c r="B134" s="11" t="s">
        <v>644</v>
      </c>
      <c r="C134" s="11" t="s">
        <v>650</v>
      </c>
      <c r="D134" s="11" t="s">
        <v>643</v>
      </c>
      <c r="E134" s="11" t="s">
        <v>659</v>
      </c>
      <c r="F134" s="11" t="s">
        <v>660</v>
      </c>
      <c r="G134" s="11" t="s">
        <v>661</v>
      </c>
      <c r="H134" s="11"/>
      <c r="I134" s="11"/>
      <c r="J134" s="11"/>
      <c r="K134" s="11"/>
      <c r="L134" s="11"/>
    </row>
    <row r="135" customFormat="false" ht="46.5" hidden="false" customHeight="true" outlineLevel="0" collapsed="false">
      <c r="A135" s="14" t="s">
        <v>662</v>
      </c>
      <c r="B135" s="11" t="s">
        <v>644</v>
      </c>
      <c r="C135" s="11" t="s">
        <v>650</v>
      </c>
      <c r="D135" s="11" t="s">
        <v>643</v>
      </c>
      <c r="E135" s="11" t="s">
        <v>663</v>
      </c>
      <c r="F135" s="11" t="s">
        <v>664</v>
      </c>
      <c r="G135" s="11" t="s">
        <v>665</v>
      </c>
      <c r="H135" s="11"/>
      <c r="I135" s="11"/>
      <c r="J135" s="11"/>
      <c r="K135" s="11"/>
      <c r="L135" s="11"/>
    </row>
    <row r="136" customFormat="false" ht="46.5" hidden="false" customHeight="true" outlineLevel="0" collapsed="false">
      <c r="A136" s="14" t="s">
        <v>666</v>
      </c>
      <c r="B136" s="11" t="s">
        <v>644</v>
      </c>
      <c r="C136" s="11" t="s">
        <v>49</v>
      </c>
      <c r="D136" s="11" t="s">
        <v>643</v>
      </c>
      <c r="E136" s="11" t="s">
        <v>667</v>
      </c>
      <c r="F136" s="11" t="s">
        <v>668</v>
      </c>
      <c r="G136" s="11" t="s">
        <v>669</v>
      </c>
      <c r="H136" s="11"/>
      <c r="I136" s="11"/>
      <c r="J136" s="11"/>
      <c r="K136" s="11"/>
      <c r="L136" s="11"/>
    </row>
    <row r="137" customFormat="false" ht="46.5" hidden="false" customHeight="true" outlineLevel="0" collapsed="false">
      <c r="A137" s="12" t="s">
        <v>670</v>
      </c>
      <c r="B137" s="13" t="s">
        <v>671</v>
      </c>
      <c r="C137" s="13" t="s">
        <v>101</v>
      </c>
      <c r="D137" s="13" t="s">
        <v>105</v>
      </c>
      <c r="E137" s="13" t="s">
        <v>672</v>
      </c>
      <c r="F137" s="13" t="s">
        <v>673</v>
      </c>
      <c r="G137" s="13" t="s">
        <v>674</v>
      </c>
      <c r="H137" s="13"/>
      <c r="I137" s="13"/>
      <c r="J137" s="13"/>
      <c r="K137" s="13"/>
      <c r="L137" s="13"/>
    </row>
    <row r="138" customFormat="false" ht="46.5" hidden="false" customHeight="true" outlineLevel="0" collapsed="false">
      <c r="A138" s="14" t="s">
        <v>675</v>
      </c>
      <c r="B138" s="11" t="s">
        <v>671</v>
      </c>
      <c r="C138" s="11" t="s">
        <v>288</v>
      </c>
      <c r="D138" s="11" t="s">
        <v>287</v>
      </c>
      <c r="E138" s="11" t="s">
        <v>676</v>
      </c>
      <c r="F138" s="11" t="s">
        <v>677</v>
      </c>
      <c r="G138" s="11" t="s">
        <v>678</v>
      </c>
      <c r="H138" s="11"/>
      <c r="I138" s="11"/>
      <c r="J138" s="11"/>
      <c r="K138" s="11"/>
      <c r="L138" s="11"/>
    </row>
    <row r="139" customFormat="false" ht="46.5" hidden="false" customHeight="true" outlineLevel="0" collapsed="false">
      <c r="A139" s="14" t="s">
        <v>679</v>
      </c>
      <c r="B139" s="11" t="s">
        <v>671</v>
      </c>
      <c r="C139" s="11" t="s">
        <v>101</v>
      </c>
      <c r="D139" s="11" t="s">
        <v>670</v>
      </c>
      <c r="E139" s="11" t="s">
        <v>680</v>
      </c>
      <c r="F139" s="11" t="s">
        <v>681</v>
      </c>
      <c r="G139" s="11" t="s">
        <v>682</v>
      </c>
      <c r="H139" s="11"/>
      <c r="I139" s="11"/>
      <c r="J139" s="11"/>
      <c r="K139" s="11"/>
      <c r="L139" s="11"/>
    </row>
    <row r="140" customFormat="false" ht="46.5" hidden="false" customHeight="true" outlineLevel="0" collapsed="false">
      <c r="A140" s="14" t="s">
        <v>683</v>
      </c>
      <c r="B140" s="11" t="s">
        <v>671</v>
      </c>
      <c r="C140" s="11" t="s">
        <v>101</v>
      </c>
      <c r="D140" s="11" t="s">
        <v>670</v>
      </c>
      <c r="E140" s="11" t="s">
        <v>684</v>
      </c>
      <c r="F140" s="11" t="s">
        <v>685</v>
      </c>
      <c r="G140" s="11" t="s">
        <v>686</v>
      </c>
      <c r="H140" s="11"/>
      <c r="I140" s="11"/>
      <c r="J140" s="11"/>
      <c r="K140" s="11"/>
      <c r="L140" s="11"/>
    </row>
    <row r="141" customFormat="false" ht="46.5" hidden="false" customHeight="true" outlineLevel="0" collapsed="false">
      <c r="A141" s="14" t="s">
        <v>687</v>
      </c>
      <c r="B141" s="11" t="s">
        <v>671</v>
      </c>
      <c r="C141" s="11" t="s">
        <v>101</v>
      </c>
      <c r="D141" s="11" t="s">
        <v>670</v>
      </c>
      <c r="E141" s="11" t="s">
        <v>688</v>
      </c>
      <c r="F141" s="11" t="s">
        <v>689</v>
      </c>
      <c r="G141" s="11" t="s">
        <v>690</v>
      </c>
      <c r="H141" s="11"/>
      <c r="I141" s="11"/>
      <c r="J141" s="11"/>
      <c r="K141" s="11"/>
      <c r="L141" s="11"/>
    </row>
    <row r="142" customFormat="false" ht="46.5" hidden="false" customHeight="true" outlineLevel="0" collapsed="false">
      <c r="A142" s="14" t="s">
        <v>691</v>
      </c>
      <c r="B142" s="11" t="s">
        <v>671</v>
      </c>
      <c r="C142" s="11" t="s">
        <v>101</v>
      </c>
      <c r="D142" s="11" t="s">
        <v>670</v>
      </c>
      <c r="E142" s="11" t="s">
        <v>692</v>
      </c>
      <c r="F142" s="11" t="s">
        <v>693</v>
      </c>
      <c r="G142" s="11" t="s">
        <v>694</v>
      </c>
      <c r="H142" s="11"/>
      <c r="I142" s="11"/>
      <c r="J142" s="11"/>
      <c r="K142" s="11"/>
      <c r="L142" s="11"/>
    </row>
    <row r="143" customFormat="false" ht="72.75" hidden="false" customHeight="true" outlineLevel="0" collapsed="false">
      <c r="A143" s="12" t="s">
        <v>695</v>
      </c>
      <c r="B143" s="13" t="s">
        <v>696</v>
      </c>
      <c r="C143" s="13" t="s">
        <v>46</v>
      </c>
      <c r="D143" s="13" t="s">
        <v>83</v>
      </c>
      <c r="E143" s="13" t="s">
        <v>697</v>
      </c>
      <c r="F143" s="13" t="s">
        <v>698</v>
      </c>
      <c r="G143" s="13" t="s">
        <v>699</v>
      </c>
      <c r="H143" s="13"/>
      <c r="I143" s="13"/>
      <c r="J143" s="13"/>
      <c r="K143" s="13"/>
      <c r="L143" s="13"/>
    </row>
    <row r="144" customFormat="false" ht="72.75" hidden="false" customHeight="true" outlineLevel="0" collapsed="false">
      <c r="A144" s="14" t="s">
        <v>700</v>
      </c>
      <c r="B144" s="11" t="s">
        <v>696</v>
      </c>
      <c r="C144" s="11" t="s">
        <v>49</v>
      </c>
      <c r="D144" s="11" t="s">
        <v>83</v>
      </c>
      <c r="E144" s="11" t="s">
        <v>701</v>
      </c>
      <c r="F144" s="11" t="s">
        <v>702</v>
      </c>
      <c r="G144" s="11" t="s">
        <v>703</v>
      </c>
      <c r="H144" s="11"/>
      <c r="I144" s="11"/>
      <c r="J144" s="11"/>
      <c r="K144" s="11"/>
      <c r="L144" s="11"/>
    </row>
    <row r="145" customFormat="false" ht="72.75" hidden="false" customHeight="true" outlineLevel="0" collapsed="false">
      <c r="A145" s="14" t="s">
        <v>704</v>
      </c>
      <c r="B145" s="11" t="s">
        <v>696</v>
      </c>
      <c r="C145" s="11" t="s">
        <v>37</v>
      </c>
      <c r="D145" s="11" t="s">
        <v>83</v>
      </c>
      <c r="E145" s="11" t="s">
        <v>705</v>
      </c>
      <c r="F145" s="11" t="s">
        <v>706</v>
      </c>
      <c r="G145" s="11" t="s">
        <v>707</v>
      </c>
      <c r="H145" s="11"/>
      <c r="I145" s="11"/>
      <c r="J145" s="11"/>
      <c r="K145" s="11"/>
      <c r="L145" s="11"/>
    </row>
    <row r="146" customFormat="false" ht="72.75" hidden="false" customHeight="true" outlineLevel="0" collapsed="false">
      <c r="A146" s="14" t="s">
        <v>708</v>
      </c>
      <c r="B146" s="11" t="s">
        <v>696</v>
      </c>
      <c r="C146" s="11" t="s">
        <v>51</v>
      </c>
      <c r="D146" s="11" t="s">
        <v>83</v>
      </c>
      <c r="E146" s="11" t="s">
        <v>709</v>
      </c>
      <c r="F146" s="11" t="s">
        <v>710</v>
      </c>
      <c r="G146" s="11" t="s">
        <v>711</v>
      </c>
      <c r="H146" s="11"/>
      <c r="I146" s="11"/>
      <c r="J146" s="11"/>
      <c r="K146" s="11"/>
      <c r="L146" s="11"/>
    </row>
    <row r="147" customFormat="false" ht="72.75" hidden="false" customHeight="true" outlineLevel="0" collapsed="false">
      <c r="A147" s="14" t="s">
        <v>712</v>
      </c>
      <c r="B147" s="11" t="s">
        <v>696</v>
      </c>
      <c r="C147" s="11" t="s">
        <v>54</v>
      </c>
      <c r="D147" s="11" t="s">
        <v>83</v>
      </c>
      <c r="E147" s="11" t="s">
        <v>713</v>
      </c>
      <c r="F147" s="11" t="s">
        <v>714</v>
      </c>
      <c r="G147" s="11" t="s">
        <v>715</v>
      </c>
      <c r="H147" s="11"/>
      <c r="I147" s="11"/>
      <c r="J147" s="11"/>
      <c r="K147" s="11"/>
      <c r="L147" s="11"/>
    </row>
    <row r="148" customFormat="false" ht="72.75" hidden="false" customHeight="true" outlineLevel="0" collapsed="false">
      <c r="A148" s="14" t="s">
        <v>716</v>
      </c>
      <c r="B148" s="11" t="s">
        <v>696</v>
      </c>
      <c r="C148" s="11" t="s">
        <v>59</v>
      </c>
      <c r="D148" s="11" t="s">
        <v>83</v>
      </c>
      <c r="E148" s="11" t="s">
        <v>717</v>
      </c>
      <c r="F148" s="11" t="s">
        <v>718</v>
      </c>
      <c r="G148" s="11" t="s">
        <v>719</v>
      </c>
      <c r="H148" s="11"/>
      <c r="I148" s="11"/>
      <c r="J148" s="11"/>
      <c r="K148" s="11"/>
      <c r="L148" s="11"/>
    </row>
    <row r="149" customFormat="false" ht="72.75" hidden="false" customHeight="true" outlineLevel="0" collapsed="false">
      <c r="A149" s="14" t="s">
        <v>720</v>
      </c>
      <c r="B149" s="11" t="s">
        <v>696</v>
      </c>
      <c r="C149" s="11" t="s">
        <v>63</v>
      </c>
      <c r="D149" s="11" t="s">
        <v>83</v>
      </c>
      <c r="E149" s="11" t="s">
        <v>721</v>
      </c>
      <c r="F149" s="11" t="s">
        <v>722</v>
      </c>
      <c r="G149" s="11" t="s">
        <v>723</v>
      </c>
      <c r="H149" s="11"/>
      <c r="I149" s="11"/>
      <c r="J149" s="11"/>
      <c r="K149" s="11"/>
      <c r="L149" s="11"/>
    </row>
    <row r="150" customFormat="false" ht="72.75" hidden="false" customHeight="true" outlineLevel="0" collapsed="false">
      <c r="A150" s="14" t="s">
        <v>724</v>
      </c>
      <c r="B150" s="11" t="s">
        <v>696</v>
      </c>
      <c r="C150" s="11" t="s">
        <v>62</v>
      </c>
      <c r="D150" s="11" t="s">
        <v>83</v>
      </c>
      <c r="E150" s="11" t="s">
        <v>725</v>
      </c>
      <c r="F150" s="11" t="s">
        <v>726</v>
      </c>
      <c r="G150" s="11" t="s">
        <v>727</v>
      </c>
      <c r="H150" s="11"/>
      <c r="I150" s="11"/>
      <c r="J150" s="11"/>
      <c r="K150" s="11"/>
      <c r="L150" s="11"/>
    </row>
    <row r="151" customFormat="false" ht="72.75" hidden="false" customHeight="true" outlineLevel="0" collapsed="false">
      <c r="A151" s="14" t="s">
        <v>728</v>
      </c>
      <c r="B151" s="11" t="s">
        <v>696</v>
      </c>
      <c r="C151" s="11" t="s">
        <v>56</v>
      </c>
      <c r="D151" s="11" t="s">
        <v>83</v>
      </c>
      <c r="E151" s="11" t="s">
        <v>729</v>
      </c>
      <c r="F151" s="11" t="s">
        <v>730</v>
      </c>
      <c r="G151" s="11" t="s">
        <v>731</v>
      </c>
      <c r="H151" s="11"/>
      <c r="I151" s="11"/>
      <c r="J151" s="11"/>
      <c r="K151" s="11"/>
      <c r="L151" s="11"/>
    </row>
    <row r="152" customFormat="false" ht="46.5" hidden="false" customHeight="true" outlineLevel="0" collapsed="false">
      <c r="A152" s="14" t="s">
        <v>732</v>
      </c>
      <c r="B152" s="11" t="s">
        <v>696</v>
      </c>
      <c r="C152" s="11" t="s">
        <v>265</v>
      </c>
      <c r="D152" s="11" t="s">
        <v>712</v>
      </c>
      <c r="E152" s="11" t="s">
        <v>733</v>
      </c>
      <c r="F152" s="11" t="s">
        <v>734</v>
      </c>
      <c r="G152" s="11" t="s">
        <v>735</v>
      </c>
      <c r="H152" s="11"/>
      <c r="I152" s="11"/>
      <c r="J152" s="11"/>
      <c r="K152" s="11"/>
      <c r="L152" s="11"/>
    </row>
    <row r="153" customFormat="false" ht="46.5" hidden="false" customHeight="true" outlineLevel="0" collapsed="false">
      <c r="A153" s="14" t="s">
        <v>736</v>
      </c>
      <c r="B153" s="11" t="s">
        <v>696</v>
      </c>
      <c r="C153" s="11" t="s">
        <v>46</v>
      </c>
      <c r="D153" s="11" t="s">
        <v>87</v>
      </c>
      <c r="E153" s="11" t="s">
        <v>737</v>
      </c>
      <c r="F153" s="11" t="s">
        <v>738</v>
      </c>
      <c r="G153" s="11" t="s">
        <v>739</v>
      </c>
      <c r="H153" s="11"/>
      <c r="I153" s="11"/>
      <c r="J153" s="11"/>
      <c r="K153" s="11"/>
      <c r="L153" s="11"/>
    </row>
    <row r="154" customFormat="false" ht="46.5" hidden="false" customHeight="true" outlineLevel="0" collapsed="false">
      <c r="A154" s="14" t="s">
        <v>740</v>
      </c>
      <c r="B154" s="11" t="s">
        <v>696</v>
      </c>
      <c r="C154" s="11" t="s">
        <v>46</v>
      </c>
      <c r="D154" s="11" t="s">
        <v>77</v>
      </c>
      <c r="E154" s="11" t="s">
        <v>741</v>
      </c>
      <c r="F154" s="11" t="s">
        <v>742</v>
      </c>
      <c r="G154" s="11" t="s">
        <v>743</v>
      </c>
      <c r="H154" s="11"/>
      <c r="I154" s="11"/>
      <c r="J154" s="11"/>
      <c r="K154" s="11"/>
      <c r="L154" s="11"/>
    </row>
    <row r="155" customFormat="false" ht="46.5" hidden="false" customHeight="true" outlineLevel="0" collapsed="false">
      <c r="A155" s="12" t="s">
        <v>744</v>
      </c>
      <c r="B155" s="13" t="s">
        <v>745</v>
      </c>
      <c r="C155" s="13" t="s">
        <v>746</v>
      </c>
      <c r="D155" s="13" t="s">
        <v>91</v>
      </c>
      <c r="E155" s="13" t="s">
        <v>747</v>
      </c>
      <c r="F155" s="13" t="s">
        <v>748</v>
      </c>
      <c r="G155" s="13" t="s">
        <v>749</v>
      </c>
      <c r="H155" s="13"/>
      <c r="I155" s="13"/>
      <c r="J155" s="13"/>
      <c r="K155" s="13"/>
      <c r="L155" s="13"/>
    </row>
    <row r="156" customFormat="false" ht="46.5" hidden="false" customHeight="true" outlineLevel="0" collapsed="false">
      <c r="A156" s="14" t="s">
        <v>750</v>
      </c>
      <c r="B156" s="11" t="s">
        <v>745</v>
      </c>
      <c r="C156" s="11" t="s">
        <v>751</v>
      </c>
      <c r="D156" s="11" t="s">
        <v>91</v>
      </c>
      <c r="E156" s="11" t="s">
        <v>752</v>
      </c>
      <c r="F156" s="11" t="s">
        <v>753</v>
      </c>
      <c r="G156" s="11" t="s">
        <v>754</v>
      </c>
      <c r="H156" s="11"/>
      <c r="I156" s="11"/>
      <c r="J156" s="11"/>
      <c r="K156" s="11"/>
      <c r="L156" s="11"/>
    </row>
    <row r="157" customFormat="false" ht="46.5" hidden="false" customHeight="true" outlineLevel="0" collapsed="false">
      <c r="A157" s="14" t="s">
        <v>755</v>
      </c>
      <c r="B157" s="11" t="s">
        <v>745</v>
      </c>
      <c r="C157" s="11" t="s">
        <v>751</v>
      </c>
      <c r="D157" s="11" t="s">
        <v>750</v>
      </c>
      <c r="E157" s="11" t="s">
        <v>756</v>
      </c>
      <c r="F157" s="11" t="s">
        <v>757</v>
      </c>
      <c r="G157" s="11" t="s">
        <v>758</v>
      </c>
      <c r="H157" s="11"/>
      <c r="I157" s="11"/>
      <c r="J157" s="11"/>
      <c r="K157" s="11"/>
      <c r="L157" s="11"/>
    </row>
    <row r="158" customFormat="false" ht="46.5" hidden="false" customHeight="true" outlineLevel="0" collapsed="false">
      <c r="A158" s="14" t="s">
        <v>759</v>
      </c>
      <c r="B158" s="11" t="s">
        <v>745</v>
      </c>
      <c r="C158" s="11" t="s">
        <v>760</v>
      </c>
      <c r="D158" s="11" t="s">
        <v>91</v>
      </c>
      <c r="E158" s="11" t="s">
        <v>761</v>
      </c>
      <c r="F158" s="11" t="s">
        <v>762</v>
      </c>
      <c r="G158" s="11" t="s">
        <v>763</v>
      </c>
      <c r="H158" s="11"/>
      <c r="I158" s="11"/>
      <c r="J158" s="11"/>
      <c r="K158" s="11"/>
      <c r="L158" s="11"/>
    </row>
    <row r="159" customFormat="false" ht="46.5" hidden="false" customHeight="true" outlineLevel="0" collapsed="false">
      <c r="A159" s="14" t="s">
        <v>764</v>
      </c>
      <c r="B159" s="11" t="s">
        <v>745</v>
      </c>
      <c r="C159" s="11" t="s">
        <v>765</v>
      </c>
      <c r="D159" s="11" t="s">
        <v>91</v>
      </c>
      <c r="E159" s="11" t="s">
        <v>766</v>
      </c>
      <c r="F159" s="11" t="s">
        <v>767</v>
      </c>
      <c r="G159" s="11" t="s">
        <v>768</v>
      </c>
      <c r="H159" s="11"/>
      <c r="I159" s="11"/>
      <c r="J159" s="11"/>
      <c r="K159" s="11"/>
      <c r="L159" s="11"/>
    </row>
    <row r="160" customFormat="false" ht="46.5" hidden="false" customHeight="true" outlineLevel="0" collapsed="false">
      <c r="A160" s="14" t="s">
        <v>769</v>
      </c>
      <c r="B160" s="11" t="s">
        <v>745</v>
      </c>
      <c r="C160" s="11" t="s">
        <v>101</v>
      </c>
      <c r="D160" s="11" t="s">
        <v>750</v>
      </c>
      <c r="E160" s="11" t="s">
        <v>770</v>
      </c>
      <c r="F160" s="11" t="s">
        <v>771</v>
      </c>
      <c r="G160" s="11" t="s">
        <v>772</v>
      </c>
      <c r="H160" s="11"/>
      <c r="I160" s="11"/>
      <c r="J160" s="11"/>
      <c r="K160" s="11"/>
      <c r="L160" s="11"/>
    </row>
    <row r="161" customFormat="false" ht="46.5" hidden="false" customHeight="true" outlineLevel="0" collapsed="false">
      <c r="A161" s="14" t="s">
        <v>773</v>
      </c>
      <c r="B161" s="11" t="s">
        <v>745</v>
      </c>
      <c r="C161" s="11" t="s">
        <v>101</v>
      </c>
      <c r="D161" s="11" t="s">
        <v>764</v>
      </c>
      <c r="E161" s="11" t="s">
        <v>774</v>
      </c>
      <c r="F161" s="11" t="s">
        <v>775</v>
      </c>
      <c r="G161" s="11" t="s">
        <v>776</v>
      </c>
      <c r="H161" s="11"/>
      <c r="I161" s="11"/>
      <c r="J161" s="11"/>
      <c r="K161" s="11"/>
      <c r="L161" s="11"/>
    </row>
    <row r="162" customFormat="false" ht="46.5" hidden="false" customHeight="true" outlineLevel="0" collapsed="false">
      <c r="A162" s="12" t="s">
        <v>777</v>
      </c>
      <c r="B162" s="13" t="s">
        <v>778</v>
      </c>
      <c r="C162" s="13" t="s">
        <v>46</v>
      </c>
      <c r="D162" s="13" t="s">
        <v>105</v>
      </c>
      <c r="E162" s="13" t="s">
        <v>779</v>
      </c>
      <c r="F162" s="13" t="s">
        <v>780</v>
      </c>
      <c r="G162" s="13" t="s">
        <v>781</v>
      </c>
      <c r="H162" s="13"/>
      <c r="I162" s="13"/>
      <c r="J162" s="13"/>
      <c r="K162" s="13"/>
      <c r="L162" s="13"/>
    </row>
    <row r="163" customFormat="false" ht="46.5" hidden="false" customHeight="true" outlineLevel="0" collapsed="false">
      <c r="A163" s="14" t="s">
        <v>782</v>
      </c>
      <c r="B163" s="11" t="s">
        <v>778</v>
      </c>
      <c r="C163" s="11" t="s">
        <v>46</v>
      </c>
      <c r="D163" s="11" t="s">
        <v>777</v>
      </c>
      <c r="E163" s="11" t="s">
        <v>783</v>
      </c>
      <c r="F163" s="11" t="s">
        <v>784</v>
      </c>
      <c r="G163" s="11" t="s">
        <v>785</v>
      </c>
      <c r="H163" s="11"/>
      <c r="I163" s="11"/>
      <c r="J163" s="11"/>
      <c r="K163" s="11"/>
      <c r="L163" s="11"/>
    </row>
    <row r="164" customFormat="false" ht="46.5" hidden="false" customHeight="true" outlineLevel="0" collapsed="false">
      <c r="A164" s="14" t="s">
        <v>786</v>
      </c>
      <c r="B164" s="11" t="s">
        <v>778</v>
      </c>
      <c r="C164" s="11" t="s">
        <v>46</v>
      </c>
      <c r="D164" s="11" t="s">
        <v>777</v>
      </c>
      <c r="E164" s="11" t="s">
        <v>787</v>
      </c>
      <c r="F164" s="11" t="s">
        <v>788</v>
      </c>
      <c r="G164" s="11" t="s">
        <v>789</v>
      </c>
      <c r="H164" s="11"/>
      <c r="I164" s="11"/>
      <c r="J164" s="11"/>
      <c r="K164" s="11"/>
      <c r="L164" s="11"/>
    </row>
    <row r="165" customFormat="false" ht="46.5" hidden="false" customHeight="true" outlineLevel="0" collapsed="false">
      <c r="A165" s="14" t="s">
        <v>790</v>
      </c>
      <c r="B165" s="11" t="s">
        <v>778</v>
      </c>
      <c r="C165" s="11" t="s">
        <v>101</v>
      </c>
      <c r="D165" s="11" t="s">
        <v>105</v>
      </c>
      <c r="E165" s="11" t="s">
        <v>791</v>
      </c>
      <c r="F165" s="11" t="s">
        <v>792</v>
      </c>
      <c r="G165" s="11" t="s">
        <v>793</v>
      </c>
      <c r="H165" s="11"/>
      <c r="I165" s="11"/>
      <c r="J165" s="11"/>
      <c r="K165" s="11"/>
      <c r="L165" s="11"/>
    </row>
    <row r="166" customFormat="false" ht="46.5" hidden="false" customHeight="true" outlineLevel="0" collapsed="false">
      <c r="A166" s="12" t="s">
        <v>794</v>
      </c>
      <c r="B166" s="13" t="s">
        <v>795</v>
      </c>
      <c r="C166" s="13" t="s">
        <v>101</v>
      </c>
      <c r="D166" s="13" t="s">
        <v>105</v>
      </c>
      <c r="E166" s="13" t="s">
        <v>796</v>
      </c>
      <c r="F166" s="13" t="s">
        <v>797</v>
      </c>
      <c r="G166" s="13" t="s">
        <v>798</v>
      </c>
      <c r="H166" s="13"/>
      <c r="I166" s="13"/>
      <c r="J166" s="13"/>
      <c r="K166" s="13"/>
      <c r="L166" s="13"/>
    </row>
    <row r="167" customFormat="false" ht="46.5" hidden="false" customHeight="true" outlineLevel="0" collapsed="false">
      <c r="A167" s="14" t="s">
        <v>799</v>
      </c>
      <c r="B167" s="11" t="s">
        <v>795</v>
      </c>
      <c r="C167" s="11" t="s">
        <v>101</v>
      </c>
      <c r="D167" s="11" t="s">
        <v>543</v>
      </c>
      <c r="E167" s="11" t="s">
        <v>800</v>
      </c>
      <c r="F167" s="11" t="s">
        <v>801</v>
      </c>
      <c r="G167" s="11" t="s">
        <v>802</v>
      </c>
      <c r="H167" s="11"/>
      <c r="I167" s="11"/>
      <c r="J167" s="11"/>
      <c r="K167" s="11"/>
      <c r="L167" s="11"/>
    </row>
    <row r="168" customFormat="false" ht="46.5" hidden="false" customHeight="true" outlineLevel="0" collapsed="false">
      <c r="A168" s="14" t="s">
        <v>803</v>
      </c>
      <c r="B168" s="11" t="s">
        <v>795</v>
      </c>
      <c r="C168" s="11" t="s">
        <v>101</v>
      </c>
      <c r="D168" s="11" t="s">
        <v>277</v>
      </c>
      <c r="E168" s="11" t="s">
        <v>804</v>
      </c>
      <c r="F168" s="11" t="s">
        <v>805</v>
      </c>
      <c r="G168" s="11" t="s">
        <v>806</v>
      </c>
      <c r="H168" s="11"/>
      <c r="I168" s="11"/>
      <c r="J168" s="11"/>
      <c r="K168" s="11"/>
      <c r="L168" s="11"/>
    </row>
    <row r="169" customFormat="false" ht="46.5" hidden="false" customHeight="true" outlineLevel="0" collapsed="false">
      <c r="A169" s="14" t="s">
        <v>807</v>
      </c>
      <c r="B169" s="11" t="s">
        <v>795</v>
      </c>
      <c r="C169" s="11" t="s">
        <v>101</v>
      </c>
      <c r="D169" s="11" t="s">
        <v>162</v>
      </c>
      <c r="E169" s="11" t="s">
        <v>808</v>
      </c>
      <c r="F169" s="11" t="s">
        <v>809</v>
      </c>
      <c r="G169" s="11" t="s">
        <v>810</v>
      </c>
      <c r="H169" s="11"/>
      <c r="I169" s="11"/>
      <c r="J169" s="11"/>
      <c r="K169" s="11"/>
      <c r="L169" s="11"/>
    </row>
    <row r="170" customFormat="false" ht="46.5" hidden="false" customHeight="true" outlineLevel="0" collapsed="false">
      <c r="A170" s="14" t="s">
        <v>811</v>
      </c>
      <c r="B170" s="11" t="s">
        <v>795</v>
      </c>
      <c r="C170" s="11" t="s">
        <v>101</v>
      </c>
      <c r="D170" s="11" t="s">
        <v>205</v>
      </c>
      <c r="E170" s="11" t="s">
        <v>812</v>
      </c>
      <c r="F170" s="11" t="s">
        <v>813</v>
      </c>
      <c r="G170" s="11" t="s">
        <v>814</v>
      </c>
      <c r="H170" s="11"/>
      <c r="I170" s="11"/>
      <c r="J170" s="11"/>
      <c r="K170" s="11"/>
      <c r="L170" s="11"/>
    </row>
    <row r="171" customFormat="false" ht="46.5" hidden="false" customHeight="true" outlineLevel="0" collapsed="false">
      <c r="A171" s="14" t="s">
        <v>815</v>
      </c>
      <c r="B171" s="11" t="s">
        <v>795</v>
      </c>
      <c r="C171" s="11" t="s">
        <v>101</v>
      </c>
      <c r="D171" s="11" t="s">
        <v>215</v>
      </c>
      <c r="E171" s="11" t="s">
        <v>816</v>
      </c>
      <c r="F171" s="11" t="s">
        <v>817</v>
      </c>
      <c r="G171" s="11" t="s">
        <v>818</v>
      </c>
      <c r="H171" s="11"/>
      <c r="I171" s="11"/>
      <c r="J171" s="11"/>
      <c r="K171" s="11"/>
      <c r="L171" s="11"/>
    </row>
    <row r="172" customFormat="false" ht="46.5" hidden="false" customHeight="true" outlineLevel="0" collapsed="false">
      <c r="A172" s="14" t="s">
        <v>819</v>
      </c>
      <c r="B172" s="11" t="s">
        <v>795</v>
      </c>
      <c r="C172" s="11" t="s">
        <v>101</v>
      </c>
      <c r="D172" s="11" t="s">
        <v>575</v>
      </c>
      <c r="E172" s="11" t="s">
        <v>820</v>
      </c>
      <c r="F172" s="11" t="s">
        <v>821</v>
      </c>
      <c r="G172" s="11" t="s">
        <v>822</v>
      </c>
      <c r="H172" s="11"/>
      <c r="I172" s="11"/>
      <c r="J172" s="11"/>
      <c r="K172" s="11"/>
      <c r="L172" s="11"/>
    </row>
    <row r="173" customFormat="false" ht="46.5" hidden="false" customHeight="true" outlineLevel="0" collapsed="false">
      <c r="A173" s="14" t="s">
        <v>823</v>
      </c>
      <c r="B173" s="11" t="s">
        <v>795</v>
      </c>
      <c r="C173" s="11" t="s">
        <v>101</v>
      </c>
      <c r="D173" s="11" t="s">
        <v>621</v>
      </c>
      <c r="E173" s="11" t="s">
        <v>824</v>
      </c>
      <c r="F173" s="11" t="s">
        <v>825</v>
      </c>
      <c r="G173" s="11" t="s">
        <v>826</v>
      </c>
      <c r="H173" s="11"/>
      <c r="I173" s="11"/>
      <c r="J173" s="11"/>
      <c r="K173" s="11"/>
      <c r="L173" s="11"/>
    </row>
    <row r="174" customFormat="false" ht="46.5" hidden="false" customHeight="true" outlineLevel="0" collapsed="false">
      <c r="A174" s="14" t="s">
        <v>827</v>
      </c>
      <c r="B174" s="11" t="s">
        <v>795</v>
      </c>
      <c r="C174" s="11" t="s">
        <v>101</v>
      </c>
      <c r="D174" s="11" t="s">
        <v>137</v>
      </c>
      <c r="E174" s="11" t="s">
        <v>828</v>
      </c>
      <c r="F174" s="11" t="s">
        <v>829</v>
      </c>
      <c r="G174" s="11" t="s">
        <v>830</v>
      </c>
      <c r="H174" s="11"/>
      <c r="I174" s="11"/>
      <c r="J174" s="11"/>
      <c r="K174" s="11"/>
      <c r="L174" s="11"/>
    </row>
    <row r="175" customFormat="false" ht="46.5" hidden="false" customHeight="true" outlineLevel="0" collapsed="false">
      <c r="A175" s="14" t="s">
        <v>831</v>
      </c>
      <c r="B175" s="11" t="s">
        <v>795</v>
      </c>
      <c r="C175" s="11" t="s">
        <v>101</v>
      </c>
      <c r="D175" s="11" t="s">
        <v>260</v>
      </c>
      <c r="E175" s="11" t="s">
        <v>832</v>
      </c>
      <c r="F175" s="11" t="s">
        <v>833</v>
      </c>
      <c r="G175" s="11" t="s">
        <v>834</v>
      </c>
      <c r="H175" s="11"/>
      <c r="I175" s="11"/>
      <c r="J175" s="11"/>
      <c r="K175" s="11"/>
      <c r="L175" s="11"/>
    </row>
    <row r="176" customFormat="false" ht="46.5" hidden="false" customHeight="true" outlineLevel="0" collapsed="false">
      <c r="A176" s="14" t="s">
        <v>835</v>
      </c>
      <c r="B176" s="11" t="s">
        <v>795</v>
      </c>
      <c r="C176" s="11" t="s">
        <v>101</v>
      </c>
      <c r="D176" s="11" t="s">
        <v>228</v>
      </c>
      <c r="E176" s="11" t="s">
        <v>836</v>
      </c>
      <c r="F176" s="11" t="s">
        <v>837</v>
      </c>
      <c r="G176" s="11" t="s">
        <v>838</v>
      </c>
      <c r="H176" s="11"/>
      <c r="I176" s="11"/>
      <c r="J176" s="11"/>
      <c r="K176" s="11"/>
      <c r="L176" s="11"/>
    </row>
    <row r="177" customFormat="false" ht="46.5" hidden="false" customHeight="true" outlineLevel="0" collapsed="false">
      <c r="A177" s="14" t="s">
        <v>839</v>
      </c>
      <c r="B177" s="11" t="s">
        <v>795</v>
      </c>
      <c r="C177" s="11" t="s">
        <v>46</v>
      </c>
      <c r="D177" s="11" t="s">
        <v>87</v>
      </c>
      <c r="E177" s="11" t="s">
        <v>840</v>
      </c>
      <c r="F177" s="11" t="s">
        <v>841</v>
      </c>
      <c r="G177" s="11" t="s">
        <v>842</v>
      </c>
      <c r="H177" s="11"/>
      <c r="I177" s="11"/>
      <c r="J177" s="11"/>
      <c r="K177" s="11"/>
      <c r="L177" s="11"/>
    </row>
    <row r="178" customFormat="false" ht="46.5" hidden="false" customHeight="true" outlineLevel="0" collapsed="false">
      <c r="A178" s="12" t="s">
        <v>843</v>
      </c>
      <c r="B178" s="13" t="s">
        <v>844</v>
      </c>
      <c r="C178" s="13" t="s">
        <v>101</v>
      </c>
      <c r="D178" s="13" t="s">
        <v>105</v>
      </c>
      <c r="E178" s="13" t="s">
        <v>845</v>
      </c>
      <c r="F178" s="13" t="s">
        <v>846</v>
      </c>
      <c r="G178" s="13" t="s">
        <v>847</v>
      </c>
      <c r="H178" s="13"/>
      <c r="I178" s="13"/>
      <c r="J178" s="13"/>
      <c r="K178" s="13"/>
      <c r="L178" s="13"/>
    </row>
    <row r="179" customFormat="false" ht="46.5" hidden="false" customHeight="true" outlineLevel="0" collapsed="false">
      <c r="A179" s="14" t="s">
        <v>848</v>
      </c>
      <c r="B179" s="11" t="s">
        <v>844</v>
      </c>
      <c r="C179" s="11" t="s">
        <v>101</v>
      </c>
      <c r="D179" s="11" t="s">
        <v>105</v>
      </c>
      <c r="E179" s="11" t="s">
        <v>849</v>
      </c>
      <c r="F179" s="11" t="s">
        <v>850</v>
      </c>
      <c r="G179" s="11" t="s">
        <v>851</v>
      </c>
      <c r="H179" s="11"/>
      <c r="I179" s="11"/>
      <c r="J179" s="11"/>
      <c r="K179" s="11"/>
      <c r="L179" s="11"/>
    </row>
    <row r="180" customFormat="false" ht="46.5" hidden="false" customHeight="true" outlineLevel="0" collapsed="false">
      <c r="A180" s="14" t="s">
        <v>852</v>
      </c>
      <c r="B180" s="11" t="s">
        <v>844</v>
      </c>
      <c r="C180" s="11" t="s">
        <v>101</v>
      </c>
      <c r="D180" s="11" t="s">
        <v>105</v>
      </c>
      <c r="E180" s="11" t="s">
        <v>853</v>
      </c>
      <c r="F180" s="11" t="s">
        <v>854</v>
      </c>
      <c r="G180" s="11" t="s">
        <v>855</v>
      </c>
      <c r="H180" s="11"/>
      <c r="I180" s="11"/>
      <c r="J180" s="11"/>
      <c r="K180" s="11"/>
      <c r="L180" s="11"/>
    </row>
    <row r="181" customFormat="false" ht="46.5" hidden="false" customHeight="true" outlineLevel="0" collapsed="false">
      <c r="A181" s="14" t="s">
        <v>856</v>
      </c>
      <c r="B181" s="11" t="s">
        <v>844</v>
      </c>
      <c r="C181" s="11" t="s">
        <v>101</v>
      </c>
      <c r="D181" s="11" t="s">
        <v>105</v>
      </c>
      <c r="E181" s="11" t="s">
        <v>857</v>
      </c>
      <c r="F181" s="11" t="s">
        <v>858</v>
      </c>
      <c r="G181" s="11" t="s">
        <v>859</v>
      </c>
      <c r="H181" s="11"/>
      <c r="I181" s="11"/>
      <c r="J181" s="11"/>
      <c r="K181" s="11"/>
      <c r="L181" s="11"/>
    </row>
    <row r="182" customFormat="false" ht="46.5" hidden="false" customHeight="true" outlineLevel="0" collapsed="false">
      <c r="A182" s="14" t="s">
        <v>860</v>
      </c>
      <c r="B182" s="11" t="s">
        <v>844</v>
      </c>
      <c r="C182" s="11" t="s">
        <v>101</v>
      </c>
      <c r="D182" s="11" t="s">
        <v>105</v>
      </c>
      <c r="E182" s="11" t="s">
        <v>861</v>
      </c>
      <c r="F182" s="11" t="s">
        <v>862</v>
      </c>
      <c r="G182" s="11" t="s">
        <v>863</v>
      </c>
      <c r="H182" s="11"/>
      <c r="I182" s="11"/>
      <c r="J182" s="11"/>
      <c r="K182" s="11"/>
      <c r="L182" s="11"/>
    </row>
    <row r="183" customFormat="false" ht="46.5" hidden="false" customHeight="true" outlineLevel="0" collapsed="false">
      <c r="A183" s="14" t="s">
        <v>864</v>
      </c>
      <c r="B183" s="11" t="s">
        <v>844</v>
      </c>
      <c r="C183" s="11" t="s">
        <v>101</v>
      </c>
      <c r="D183" s="11" t="s">
        <v>105</v>
      </c>
      <c r="E183" s="11" t="s">
        <v>865</v>
      </c>
      <c r="F183" s="11" t="s">
        <v>866</v>
      </c>
      <c r="G183" s="11" t="s">
        <v>867</v>
      </c>
      <c r="H183" s="11"/>
      <c r="I183" s="11"/>
      <c r="J183" s="11"/>
      <c r="K183" s="11"/>
      <c r="L183" s="11"/>
    </row>
    <row r="184" customFormat="false" ht="46.5" hidden="false" customHeight="true" outlineLevel="0" collapsed="false">
      <c r="A184" s="14" t="s">
        <v>868</v>
      </c>
      <c r="B184" s="11" t="s">
        <v>844</v>
      </c>
      <c r="C184" s="11" t="s">
        <v>101</v>
      </c>
      <c r="D184" s="11" t="s">
        <v>105</v>
      </c>
      <c r="E184" s="11" t="s">
        <v>869</v>
      </c>
      <c r="F184" s="11" t="s">
        <v>870</v>
      </c>
      <c r="G184" s="11" t="s">
        <v>871</v>
      </c>
      <c r="H184" s="11"/>
      <c r="I184" s="11"/>
      <c r="J184" s="11"/>
      <c r="K184" s="11"/>
      <c r="L184" s="11"/>
    </row>
    <row r="185" customFormat="false" ht="46.5" hidden="false" customHeight="true" outlineLevel="0" collapsed="false">
      <c r="A185" s="12" t="s">
        <v>872</v>
      </c>
      <c r="B185" s="13" t="s">
        <v>873</v>
      </c>
      <c r="C185" s="13" t="s">
        <v>101</v>
      </c>
      <c r="D185" s="13" t="s">
        <v>105</v>
      </c>
      <c r="E185" s="13" t="s">
        <v>874</v>
      </c>
      <c r="F185" s="13" t="s">
        <v>875</v>
      </c>
      <c r="G185" s="13" t="s">
        <v>876</v>
      </c>
      <c r="H185" s="13"/>
      <c r="I185" s="13"/>
      <c r="J185" s="13"/>
      <c r="K185" s="13"/>
      <c r="L185" s="13"/>
    </row>
    <row r="186" customFormat="false" ht="60" hidden="false" customHeight="true" outlineLevel="0" collapsed="false">
      <c r="A186" s="14" t="s">
        <v>877</v>
      </c>
      <c r="B186" s="11" t="s">
        <v>873</v>
      </c>
      <c r="C186" s="11" t="s">
        <v>101</v>
      </c>
      <c r="D186" s="11" t="s">
        <v>105</v>
      </c>
      <c r="E186" s="11" t="s">
        <v>878</v>
      </c>
      <c r="F186" s="11" t="s">
        <v>879</v>
      </c>
      <c r="G186" s="11" t="s">
        <v>880</v>
      </c>
      <c r="H186" s="11"/>
      <c r="I186" s="11"/>
      <c r="J186" s="11"/>
      <c r="K186" s="11"/>
      <c r="L186" s="11"/>
    </row>
    <row r="187" customFormat="false" ht="46.5" hidden="false" customHeight="true" outlineLevel="0" collapsed="false">
      <c r="A187" s="14" t="s">
        <v>881</v>
      </c>
      <c r="B187" s="11" t="s">
        <v>873</v>
      </c>
      <c r="C187" s="11" t="s">
        <v>101</v>
      </c>
      <c r="D187" s="11" t="s">
        <v>105</v>
      </c>
      <c r="E187" s="11" t="s">
        <v>882</v>
      </c>
      <c r="F187" s="11" t="s">
        <v>883</v>
      </c>
      <c r="G187" s="11" t="s">
        <v>884</v>
      </c>
      <c r="H187" s="11"/>
      <c r="I187" s="11"/>
      <c r="J187" s="11"/>
      <c r="K187" s="11"/>
      <c r="L187" s="11"/>
    </row>
    <row r="188" customFormat="false" ht="46.5" hidden="false" customHeight="true" outlineLevel="0" collapsed="false">
      <c r="A188" s="14" t="s">
        <v>885</v>
      </c>
      <c r="B188" s="11" t="s">
        <v>873</v>
      </c>
      <c r="C188" s="11" t="s">
        <v>101</v>
      </c>
      <c r="D188" s="11" t="s">
        <v>105</v>
      </c>
      <c r="E188" s="11" t="s">
        <v>886</v>
      </c>
      <c r="F188" s="11" t="s">
        <v>887</v>
      </c>
      <c r="G188" s="11" t="s">
        <v>888</v>
      </c>
      <c r="H188" s="11"/>
      <c r="I188" s="11"/>
      <c r="J188" s="11"/>
      <c r="K188" s="11"/>
      <c r="L188" s="11"/>
    </row>
    <row r="189" customFormat="false" ht="46.5" hidden="false" customHeight="true" outlineLevel="0" collapsed="false">
      <c r="A189" s="14" t="s">
        <v>889</v>
      </c>
      <c r="B189" s="11" t="s">
        <v>873</v>
      </c>
      <c r="C189" s="11" t="s">
        <v>101</v>
      </c>
      <c r="D189" s="11" t="s">
        <v>105</v>
      </c>
      <c r="E189" s="11" t="s">
        <v>890</v>
      </c>
      <c r="F189" s="11" t="s">
        <v>891</v>
      </c>
      <c r="G189" s="11" t="s">
        <v>892</v>
      </c>
      <c r="H189" s="11"/>
      <c r="I189" s="11"/>
      <c r="J189" s="11"/>
      <c r="K189" s="11"/>
      <c r="L189" s="11"/>
    </row>
  </sheetData>
  <autoFilter ref="A1:L189"/>
  <conditionalFormatting sqref="H2:H189">
    <cfRule type="cellIs" priority="2" operator="equal" aboveAverage="0" equalAverage="0" bottom="0" percent="0" rank="0" text="" dxfId="4">
      <formula>"Pass"</formula>
    </cfRule>
    <cfRule type="cellIs" priority="3" operator="equal" aboveAverage="0" equalAverage="0" bottom="0" percent="0" rank="0" text="" dxfId="5">
      <formula>"Fail"</formula>
    </cfRule>
    <cfRule type="cellIs" priority="4" operator="equal" aboveAverage="0" equalAverage="0" bottom="0" percent="0" rank="0" text="" dxfId="6">
      <formula>"Blocked"</formula>
    </cfRule>
    <cfRule type="cellIs" priority="5" operator="equal" aboveAverage="0" equalAverage="0" bottom="0" percent="0" rank="0" text="" dxfId="7">
      <formula>"Not applicable"</formula>
    </cfRule>
  </conditionalFormatting>
  <dataValidations count="1">
    <dataValidation allowBlank="true" error="Choose one of: Pass, Fail, Blocked, Not applicable, Not tested" errorStyle="stop" errorTitle="Result" operator="between" showDropDown="false" showErrorMessage="false" showInputMessage="false" sqref="H2:H189" type="list">
      <formula1>"Pass,Fail,Blocked,Not applicable,Not tested"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6" min="2" style="0" width="15"/>
    <col collapsed="false" customWidth="true" hidden="false" outlineLevel="0" max="7" min="7" style="0" width="12"/>
  </cols>
  <sheetData>
    <row r="1" customFormat="false" ht="19.7" hidden="false" customHeight="false" outlineLevel="0" collapsed="false">
      <c r="A1" s="15" t="s">
        <v>893</v>
      </c>
    </row>
    <row r="2" customFormat="false" ht="15" hidden="false" customHeight="false" outlineLevel="0" collapsed="false">
      <c r="A2" s="16" t="s">
        <v>894</v>
      </c>
    </row>
    <row r="4" customFormat="false" ht="30" hidden="false" customHeight="true" outlineLevel="0" collapsed="false">
      <c r="A4" s="7" t="s">
        <v>895</v>
      </c>
      <c r="B4" s="7" t="s">
        <v>896</v>
      </c>
      <c r="C4" s="7" t="s">
        <v>897</v>
      </c>
      <c r="D4" s="7" t="s">
        <v>898</v>
      </c>
      <c r="E4" s="7" t="s">
        <v>899</v>
      </c>
      <c r="F4" s="7" t="s">
        <v>900</v>
      </c>
      <c r="G4" s="7" t="s">
        <v>901</v>
      </c>
    </row>
    <row r="5" customFormat="false" ht="15" hidden="false" customHeight="false" outlineLevel="0" collapsed="false">
      <c r="A5" s="17" t="s">
        <v>902</v>
      </c>
      <c r="B5" s="17" t="n">
        <f aca="false">COUNTIF('UAT tests'!$H$2:$H$189,"Pass")</f>
        <v>0</v>
      </c>
      <c r="C5" s="17" t="n">
        <f aca="false">COUNTIF('UAT tests'!$H$2:$H$189,"Fail")</f>
        <v>0</v>
      </c>
      <c r="D5" s="17" t="n">
        <f aca="false">COUNTIF('UAT tests'!$H$2:$H$189,"Blocked")</f>
        <v>0</v>
      </c>
      <c r="E5" s="17" t="n">
        <f aca="false">COUNTIF('UAT tests'!$H$2:$H$189,"Not applicable")</f>
        <v>0</v>
      </c>
      <c r="F5" s="17" t="n">
        <f aca="false">COUNTIF('UAT tests'!$H$2:$H$189,"Not tested")</f>
        <v>0</v>
      </c>
      <c r="G5" s="17" t="n">
        <f aca="false">COUNTA('UAT tests'!$A$2:$A$189)</f>
        <v>188</v>
      </c>
    </row>
    <row r="6" customFormat="false" ht="15" hidden="false" customHeight="false" outlineLevel="0" collapsed="false">
      <c r="A6" s="18" t="s">
        <v>903</v>
      </c>
      <c r="B6" s="18" t="n">
        <f aca="false">COUNTA('UAT tests'!$A$2:$A$189)-COUNTA('UAT tests'!$H$2:$H$189)</f>
        <v>188</v>
      </c>
    </row>
    <row r="8" customFormat="false" ht="15" hidden="false" customHeight="false" outlineLevel="0" collapsed="false">
      <c r="A8" s="19" t="s">
        <v>904</v>
      </c>
    </row>
    <row r="9" customFormat="false" ht="30" hidden="false" customHeight="true" outlineLevel="0" collapsed="false">
      <c r="A9" s="7" t="s">
        <v>66</v>
      </c>
      <c r="B9" s="7" t="s">
        <v>896</v>
      </c>
      <c r="C9" s="7" t="s">
        <v>897</v>
      </c>
      <c r="D9" s="7" t="s">
        <v>898</v>
      </c>
      <c r="E9" s="7" t="s">
        <v>899</v>
      </c>
      <c r="F9" s="7" t="s">
        <v>900</v>
      </c>
      <c r="G9" s="7" t="s">
        <v>905</v>
      </c>
    </row>
    <row r="10" customFormat="false" ht="15" hidden="false" customHeight="false" outlineLevel="0" collapsed="false">
      <c r="A10" s="11" t="s">
        <v>78</v>
      </c>
      <c r="B10" s="18" t="n">
        <f aca="false">COUNTIFS('UAT tests'!$B$2:$B$189,$A10,'UAT tests'!$H$2:$H$189,"Pass")</f>
        <v>0</v>
      </c>
      <c r="C10" s="18" t="n">
        <f aca="false">COUNTIFS('UAT tests'!$B$2:$B$189,$A10,'UAT tests'!$H$2:$H$189,"Fail")</f>
        <v>0</v>
      </c>
      <c r="D10" s="18" t="n">
        <f aca="false">COUNTIFS('UAT tests'!$B$2:$B$189,$A10,'UAT tests'!$H$2:$H$189,"Blocked")</f>
        <v>0</v>
      </c>
      <c r="E10" s="18" t="n">
        <f aca="false">COUNTIFS('UAT tests'!$B$2:$B$189,$A10,'UAT tests'!$H$2:$H$189,"Not applicable")</f>
        <v>0</v>
      </c>
      <c r="F10" s="18" t="n">
        <f aca="false">COUNTIFS('UAT tests'!$B$2:$B$189,$A10,'UAT tests'!$H$2:$H$189,"Not tested")</f>
        <v>0</v>
      </c>
      <c r="G10" s="17" t="n">
        <f aca="false">COUNTIF('UAT tests'!$B$2:$B$189,$A10)</f>
        <v>5</v>
      </c>
    </row>
    <row r="11" customFormat="false" ht="15" hidden="false" customHeight="false" outlineLevel="0" collapsed="false">
      <c r="A11" s="11" t="s">
        <v>100</v>
      </c>
      <c r="B11" s="18" t="n">
        <f aca="false">COUNTIFS('UAT tests'!$B$2:$B$189,$A11,'UAT tests'!$H$2:$H$189,"Pass")</f>
        <v>0</v>
      </c>
      <c r="C11" s="18" t="n">
        <f aca="false">COUNTIFS('UAT tests'!$B$2:$B$189,$A11,'UAT tests'!$H$2:$H$189,"Fail")</f>
        <v>0</v>
      </c>
      <c r="D11" s="18" t="n">
        <f aca="false">COUNTIFS('UAT tests'!$B$2:$B$189,$A11,'UAT tests'!$H$2:$H$189,"Blocked")</f>
        <v>0</v>
      </c>
      <c r="E11" s="18" t="n">
        <f aca="false">COUNTIFS('UAT tests'!$B$2:$B$189,$A11,'UAT tests'!$H$2:$H$189,"Not applicable")</f>
        <v>0</v>
      </c>
      <c r="F11" s="18" t="n">
        <f aca="false">COUNTIFS('UAT tests'!$B$2:$B$189,$A11,'UAT tests'!$H$2:$H$189,"Not tested")</f>
        <v>0</v>
      </c>
      <c r="G11" s="17" t="n">
        <f aca="false">COUNTIF('UAT tests'!$B$2:$B$189,$A11)</f>
        <v>9</v>
      </c>
    </row>
    <row r="12" customFormat="false" ht="15" hidden="false" customHeight="false" outlineLevel="0" collapsed="false">
      <c r="A12" s="11" t="s">
        <v>138</v>
      </c>
      <c r="B12" s="18" t="n">
        <f aca="false">COUNTIFS('UAT tests'!$B$2:$B$189,$A12,'UAT tests'!$H$2:$H$189,"Pass")</f>
        <v>0</v>
      </c>
      <c r="C12" s="18" t="n">
        <f aca="false">COUNTIFS('UAT tests'!$B$2:$B$189,$A12,'UAT tests'!$H$2:$H$189,"Fail")</f>
        <v>0</v>
      </c>
      <c r="D12" s="18" t="n">
        <f aca="false">COUNTIFS('UAT tests'!$B$2:$B$189,$A12,'UAT tests'!$H$2:$H$189,"Blocked")</f>
        <v>0</v>
      </c>
      <c r="E12" s="18" t="n">
        <f aca="false">COUNTIFS('UAT tests'!$B$2:$B$189,$A12,'UAT tests'!$H$2:$H$189,"Not applicable")</f>
        <v>0</v>
      </c>
      <c r="F12" s="18" t="n">
        <f aca="false">COUNTIFS('UAT tests'!$B$2:$B$189,$A12,'UAT tests'!$H$2:$H$189,"Not tested")</f>
        <v>0</v>
      </c>
      <c r="G12" s="17" t="n">
        <f aca="false">COUNTIF('UAT tests'!$B$2:$B$189,$A12)</f>
        <v>6</v>
      </c>
    </row>
    <row r="13" customFormat="false" ht="15" hidden="false" customHeight="false" outlineLevel="0" collapsed="false">
      <c r="A13" s="11" t="s">
        <v>163</v>
      </c>
      <c r="B13" s="18" t="n">
        <f aca="false">COUNTIFS('UAT tests'!$B$2:$B$189,$A13,'UAT tests'!$H$2:$H$189,"Pass")</f>
        <v>0</v>
      </c>
      <c r="C13" s="18" t="n">
        <f aca="false">COUNTIFS('UAT tests'!$B$2:$B$189,$A13,'UAT tests'!$H$2:$H$189,"Fail")</f>
        <v>0</v>
      </c>
      <c r="D13" s="18" t="n">
        <f aca="false">COUNTIFS('UAT tests'!$B$2:$B$189,$A13,'UAT tests'!$H$2:$H$189,"Blocked")</f>
        <v>0</v>
      </c>
      <c r="E13" s="18" t="n">
        <f aca="false">COUNTIFS('UAT tests'!$B$2:$B$189,$A13,'UAT tests'!$H$2:$H$189,"Not applicable")</f>
        <v>0</v>
      </c>
      <c r="F13" s="18" t="n">
        <f aca="false">COUNTIFS('UAT tests'!$B$2:$B$189,$A13,'UAT tests'!$H$2:$H$189,"Not tested")</f>
        <v>0</v>
      </c>
      <c r="G13" s="17" t="n">
        <f aca="false">COUNTIF('UAT tests'!$B$2:$B$189,$A13)</f>
        <v>10</v>
      </c>
    </row>
    <row r="14" customFormat="false" ht="15" hidden="false" customHeight="false" outlineLevel="0" collapsed="false">
      <c r="A14" s="11" t="s">
        <v>206</v>
      </c>
      <c r="B14" s="18" t="n">
        <f aca="false">COUNTIFS('UAT tests'!$B$2:$B$189,$A14,'UAT tests'!$H$2:$H$189,"Pass")</f>
        <v>0</v>
      </c>
      <c r="C14" s="18" t="n">
        <f aca="false">COUNTIFS('UAT tests'!$B$2:$B$189,$A14,'UAT tests'!$H$2:$H$189,"Fail")</f>
        <v>0</v>
      </c>
      <c r="D14" s="18" t="n">
        <f aca="false">COUNTIFS('UAT tests'!$B$2:$B$189,$A14,'UAT tests'!$H$2:$H$189,"Blocked")</f>
        <v>0</v>
      </c>
      <c r="E14" s="18" t="n">
        <f aca="false">COUNTIFS('UAT tests'!$B$2:$B$189,$A14,'UAT tests'!$H$2:$H$189,"Not applicable")</f>
        <v>0</v>
      </c>
      <c r="F14" s="18" t="n">
        <f aca="false">COUNTIFS('UAT tests'!$B$2:$B$189,$A14,'UAT tests'!$H$2:$H$189,"Not tested")</f>
        <v>0</v>
      </c>
      <c r="G14" s="17" t="n">
        <f aca="false">COUNTIF('UAT tests'!$B$2:$B$189,$A14)</f>
        <v>17</v>
      </c>
    </row>
    <row r="15" customFormat="false" ht="15" hidden="false" customHeight="false" outlineLevel="0" collapsed="false">
      <c r="A15" s="11" t="s">
        <v>278</v>
      </c>
      <c r="B15" s="18" t="n">
        <f aca="false">COUNTIFS('UAT tests'!$B$2:$B$189,$A15,'UAT tests'!$H$2:$H$189,"Pass")</f>
        <v>0</v>
      </c>
      <c r="C15" s="18" t="n">
        <f aca="false">COUNTIFS('UAT tests'!$B$2:$B$189,$A15,'UAT tests'!$H$2:$H$189,"Fail")</f>
        <v>0</v>
      </c>
      <c r="D15" s="18" t="n">
        <f aca="false">COUNTIFS('UAT tests'!$B$2:$B$189,$A15,'UAT tests'!$H$2:$H$189,"Blocked")</f>
        <v>0</v>
      </c>
      <c r="E15" s="18" t="n">
        <f aca="false">COUNTIFS('UAT tests'!$B$2:$B$189,$A15,'UAT tests'!$H$2:$H$189,"Not applicable")</f>
        <v>0</v>
      </c>
      <c r="F15" s="18" t="n">
        <f aca="false">COUNTIFS('UAT tests'!$B$2:$B$189,$A15,'UAT tests'!$H$2:$H$189,"Not tested")</f>
        <v>0</v>
      </c>
      <c r="G15" s="17" t="n">
        <f aca="false">COUNTIF('UAT tests'!$B$2:$B$189,$A15)</f>
        <v>13</v>
      </c>
    </row>
    <row r="16" customFormat="false" ht="15" hidden="false" customHeight="false" outlineLevel="0" collapsed="false">
      <c r="A16" s="11" t="s">
        <v>333</v>
      </c>
      <c r="B16" s="18" t="n">
        <f aca="false">COUNTIFS('UAT tests'!$B$2:$B$189,$A16,'UAT tests'!$H$2:$H$189,"Pass")</f>
        <v>0</v>
      </c>
      <c r="C16" s="18" t="n">
        <f aca="false">COUNTIFS('UAT tests'!$B$2:$B$189,$A16,'UAT tests'!$H$2:$H$189,"Fail")</f>
        <v>0</v>
      </c>
      <c r="D16" s="18" t="n">
        <f aca="false">COUNTIFS('UAT tests'!$B$2:$B$189,$A16,'UAT tests'!$H$2:$H$189,"Blocked")</f>
        <v>0</v>
      </c>
      <c r="E16" s="18" t="n">
        <f aca="false">COUNTIFS('UAT tests'!$B$2:$B$189,$A16,'UAT tests'!$H$2:$H$189,"Not applicable")</f>
        <v>0</v>
      </c>
      <c r="F16" s="18" t="n">
        <f aca="false">COUNTIFS('UAT tests'!$B$2:$B$189,$A16,'UAT tests'!$H$2:$H$189,"Not tested")</f>
        <v>0</v>
      </c>
      <c r="G16" s="17" t="n">
        <f aca="false">COUNTIF('UAT tests'!$B$2:$B$189,$A16)</f>
        <v>4</v>
      </c>
    </row>
    <row r="17" customFormat="false" ht="15" hidden="false" customHeight="false" outlineLevel="0" collapsed="false">
      <c r="A17" s="11" t="s">
        <v>353</v>
      </c>
      <c r="B17" s="18" t="n">
        <f aca="false">COUNTIFS('UAT tests'!$B$2:$B$189,$A17,'UAT tests'!$H$2:$H$189,"Pass")</f>
        <v>0</v>
      </c>
      <c r="C17" s="18" t="n">
        <f aca="false">COUNTIFS('UAT tests'!$B$2:$B$189,$A17,'UAT tests'!$H$2:$H$189,"Fail")</f>
        <v>0</v>
      </c>
      <c r="D17" s="18" t="n">
        <f aca="false">COUNTIFS('UAT tests'!$B$2:$B$189,$A17,'UAT tests'!$H$2:$H$189,"Blocked")</f>
        <v>0</v>
      </c>
      <c r="E17" s="18" t="n">
        <f aca="false">COUNTIFS('UAT tests'!$B$2:$B$189,$A17,'UAT tests'!$H$2:$H$189,"Not applicable")</f>
        <v>0</v>
      </c>
      <c r="F17" s="18" t="n">
        <f aca="false">COUNTIFS('UAT tests'!$B$2:$B$189,$A17,'UAT tests'!$H$2:$H$189,"Not tested")</f>
        <v>0</v>
      </c>
      <c r="G17" s="17" t="n">
        <f aca="false">COUNTIF('UAT tests'!$B$2:$B$189,$A17)</f>
        <v>10</v>
      </c>
    </row>
    <row r="18" customFormat="false" ht="15" hidden="false" customHeight="false" outlineLevel="0" collapsed="false">
      <c r="A18" s="11" t="s">
        <v>396</v>
      </c>
      <c r="B18" s="18" t="n">
        <f aca="false">COUNTIFS('UAT tests'!$B$2:$B$189,$A18,'UAT tests'!$H$2:$H$189,"Pass")</f>
        <v>0</v>
      </c>
      <c r="C18" s="18" t="n">
        <f aca="false">COUNTIFS('UAT tests'!$B$2:$B$189,$A18,'UAT tests'!$H$2:$H$189,"Fail")</f>
        <v>0</v>
      </c>
      <c r="D18" s="18" t="n">
        <f aca="false">COUNTIFS('UAT tests'!$B$2:$B$189,$A18,'UAT tests'!$H$2:$H$189,"Blocked")</f>
        <v>0</v>
      </c>
      <c r="E18" s="18" t="n">
        <f aca="false">COUNTIFS('UAT tests'!$B$2:$B$189,$A18,'UAT tests'!$H$2:$H$189,"Not applicable")</f>
        <v>0</v>
      </c>
      <c r="F18" s="18" t="n">
        <f aca="false">COUNTIFS('UAT tests'!$B$2:$B$189,$A18,'UAT tests'!$H$2:$H$189,"Not tested")</f>
        <v>0</v>
      </c>
      <c r="G18" s="17" t="n">
        <f aca="false">COUNTIF('UAT tests'!$B$2:$B$189,$A18)</f>
        <v>7</v>
      </c>
    </row>
    <row r="19" customFormat="false" ht="15" hidden="false" customHeight="false" outlineLevel="0" collapsed="false">
      <c r="A19" s="11" t="s">
        <v>427</v>
      </c>
      <c r="B19" s="18" t="n">
        <f aca="false">COUNTIFS('UAT tests'!$B$2:$B$189,$A19,'UAT tests'!$H$2:$H$189,"Pass")</f>
        <v>0</v>
      </c>
      <c r="C19" s="18" t="n">
        <f aca="false">COUNTIFS('UAT tests'!$B$2:$B$189,$A19,'UAT tests'!$H$2:$H$189,"Fail")</f>
        <v>0</v>
      </c>
      <c r="D19" s="18" t="n">
        <f aca="false">COUNTIFS('UAT tests'!$B$2:$B$189,$A19,'UAT tests'!$H$2:$H$189,"Blocked")</f>
        <v>0</v>
      </c>
      <c r="E19" s="18" t="n">
        <f aca="false">COUNTIFS('UAT tests'!$B$2:$B$189,$A19,'UAT tests'!$H$2:$H$189,"Not applicable")</f>
        <v>0</v>
      </c>
      <c r="F19" s="18" t="n">
        <f aca="false">COUNTIFS('UAT tests'!$B$2:$B$189,$A19,'UAT tests'!$H$2:$H$189,"Not tested")</f>
        <v>0</v>
      </c>
      <c r="G19" s="17" t="n">
        <f aca="false">COUNTIF('UAT tests'!$B$2:$B$189,$A19)</f>
        <v>7</v>
      </c>
    </row>
    <row r="20" customFormat="false" ht="15" hidden="false" customHeight="false" outlineLevel="0" collapsed="false">
      <c r="A20" s="11" t="s">
        <v>458</v>
      </c>
      <c r="B20" s="18" t="n">
        <f aca="false">COUNTIFS('UAT tests'!$B$2:$B$189,$A20,'UAT tests'!$H$2:$H$189,"Pass")</f>
        <v>0</v>
      </c>
      <c r="C20" s="18" t="n">
        <f aca="false">COUNTIFS('UAT tests'!$B$2:$B$189,$A20,'UAT tests'!$H$2:$H$189,"Fail")</f>
        <v>0</v>
      </c>
      <c r="D20" s="18" t="n">
        <f aca="false">COUNTIFS('UAT tests'!$B$2:$B$189,$A20,'UAT tests'!$H$2:$H$189,"Blocked")</f>
        <v>0</v>
      </c>
      <c r="E20" s="18" t="n">
        <f aca="false">COUNTIFS('UAT tests'!$B$2:$B$189,$A20,'UAT tests'!$H$2:$H$189,"Not applicable")</f>
        <v>0</v>
      </c>
      <c r="F20" s="18" t="n">
        <f aca="false">COUNTIFS('UAT tests'!$B$2:$B$189,$A20,'UAT tests'!$H$2:$H$189,"Not tested")</f>
        <v>0</v>
      </c>
      <c r="G20" s="17" t="n">
        <f aca="false">COUNTIF('UAT tests'!$B$2:$B$189,$A20)</f>
        <v>3</v>
      </c>
    </row>
    <row r="21" customFormat="false" ht="15" hidden="false" customHeight="false" outlineLevel="0" collapsed="false">
      <c r="A21" s="11" t="s">
        <v>473</v>
      </c>
      <c r="B21" s="18" t="n">
        <f aca="false">COUNTIFS('UAT tests'!$B$2:$B$189,$A21,'UAT tests'!$H$2:$H$189,"Pass")</f>
        <v>0</v>
      </c>
      <c r="C21" s="18" t="n">
        <f aca="false">COUNTIFS('UAT tests'!$B$2:$B$189,$A21,'UAT tests'!$H$2:$H$189,"Fail")</f>
        <v>0</v>
      </c>
      <c r="D21" s="18" t="n">
        <f aca="false">COUNTIFS('UAT tests'!$B$2:$B$189,$A21,'UAT tests'!$H$2:$H$189,"Blocked")</f>
        <v>0</v>
      </c>
      <c r="E21" s="18" t="n">
        <f aca="false">COUNTIFS('UAT tests'!$B$2:$B$189,$A21,'UAT tests'!$H$2:$H$189,"Not applicable")</f>
        <v>0</v>
      </c>
      <c r="F21" s="18" t="n">
        <f aca="false">COUNTIFS('UAT tests'!$B$2:$B$189,$A21,'UAT tests'!$H$2:$H$189,"Not tested")</f>
        <v>0</v>
      </c>
      <c r="G21" s="17" t="n">
        <f aca="false">COUNTIF('UAT tests'!$B$2:$B$189,$A21)</f>
        <v>8</v>
      </c>
    </row>
    <row r="22" customFormat="false" ht="15" hidden="false" customHeight="false" outlineLevel="0" collapsed="false">
      <c r="A22" s="11" t="s">
        <v>509</v>
      </c>
      <c r="B22" s="18" t="n">
        <f aca="false">COUNTIFS('UAT tests'!$B$2:$B$189,$A22,'UAT tests'!$H$2:$H$189,"Pass")</f>
        <v>0</v>
      </c>
      <c r="C22" s="18" t="n">
        <f aca="false">COUNTIFS('UAT tests'!$B$2:$B$189,$A22,'UAT tests'!$H$2:$H$189,"Fail")</f>
        <v>0</v>
      </c>
      <c r="D22" s="18" t="n">
        <f aca="false">COUNTIFS('UAT tests'!$B$2:$B$189,$A22,'UAT tests'!$H$2:$H$189,"Blocked")</f>
        <v>0</v>
      </c>
      <c r="E22" s="18" t="n">
        <f aca="false">COUNTIFS('UAT tests'!$B$2:$B$189,$A22,'UAT tests'!$H$2:$H$189,"Not applicable")</f>
        <v>0</v>
      </c>
      <c r="F22" s="18" t="n">
        <f aca="false">COUNTIFS('UAT tests'!$B$2:$B$189,$A22,'UAT tests'!$H$2:$H$189,"Not tested")</f>
        <v>0</v>
      </c>
      <c r="G22" s="17" t="n">
        <f aca="false">COUNTIF('UAT tests'!$B$2:$B$189,$A22)</f>
        <v>8</v>
      </c>
    </row>
    <row r="23" customFormat="false" ht="15" hidden="false" customHeight="false" outlineLevel="0" collapsed="false">
      <c r="A23" s="11" t="s">
        <v>544</v>
      </c>
      <c r="B23" s="18" t="n">
        <f aca="false">COUNTIFS('UAT tests'!$B$2:$B$189,$A23,'UAT tests'!$H$2:$H$189,"Pass")</f>
        <v>0</v>
      </c>
      <c r="C23" s="18" t="n">
        <f aca="false">COUNTIFS('UAT tests'!$B$2:$B$189,$A23,'UAT tests'!$H$2:$H$189,"Fail")</f>
        <v>0</v>
      </c>
      <c r="D23" s="18" t="n">
        <f aca="false">COUNTIFS('UAT tests'!$B$2:$B$189,$A23,'UAT tests'!$H$2:$H$189,"Blocked")</f>
        <v>0</v>
      </c>
      <c r="E23" s="18" t="n">
        <f aca="false">COUNTIFS('UAT tests'!$B$2:$B$189,$A23,'UAT tests'!$H$2:$H$189,"Not applicable")</f>
        <v>0</v>
      </c>
      <c r="F23" s="18" t="n">
        <f aca="false">COUNTIFS('UAT tests'!$B$2:$B$189,$A23,'UAT tests'!$H$2:$H$189,"Not tested")</f>
        <v>0</v>
      </c>
      <c r="G23" s="17" t="n">
        <f aca="false">COUNTIF('UAT tests'!$B$2:$B$189,$A23)</f>
        <v>7</v>
      </c>
    </row>
    <row r="24" customFormat="false" ht="15" hidden="false" customHeight="false" outlineLevel="0" collapsed="false">
      <c r="A24" s="11" t="s">
        <v>576</v>
      </c>
      <c r="B24" s="18" t="n">
        <f aca="false">COUNTIFS('UAT tests'!$B$2:$B$189,$A24,'UAT tests'!$H$2:$H$189,"Pass")</f>
        <v>0</v>
      </c>
      <c r="C24" s="18" t="n">
        <f aca="false">COUNTIFS('UAT tests'!$B$2:$B$189,$A24,'UAT tests'!$H$2:$H$189,"Fail")</f>
        <v>0</v>
      </c>
      <c r="D24" s="18" t="n">
        <f aca="false">COUNTIFS('UAT tests'!$B$2:$B$189,$A24,'UAT tests'!$H$2:$H$189,"Blocked")</f>
        <v>0</v>
      </c>
      <c r="E24" s="18" t="n">
        <f aca="false">COUNTIFS('UAT tests'!$B$2:$B$189,$A24,'UAT tests'!$H$2:$H$189,"Not applicable")</f>
        <v>0</v>
      </c>
      <c r="F24" s="18" t="n">
        <f aca="false">COUNTIFS('UAT tests'!$B$2:$B$189,$A24,'UAT tests'!$H$2:$H$189,"Not tested")</f>
        <v>0</v>
      </c>
      <c r="G24" s="17" t="n">
        <f aca="false">COUNTIF('UAT tests'!$B$2:$B$189,$A24)</f>
        <v>7</v>
      </c>
    </row>
    <row r="25" customFormat="false" ht="15" hidden="false" customHeight="false" outlineLevel="0" collapsed="false">
      <c r="A25" s="11" t="s">
        <v>608</v>
      </c>
      <c r="B25" s="18" t="n">
        <f aca="false">COUNTIFS('UAT tests'!$B$2:$B$189,$A25,'UAT tests'!$H$2:$H$189,"Pass")</f>
        <v>0</v>
      </c>
      <c r="C25" s="18" t="n">
        <f aca="false">COUNTIFS('UAT tests'!$B$2:$B$189,$A25,'UAT tests'!$H$2:$H$189,"Fail")</f>
        <v>0</v>
      </c>
      <c r="D25" s="18" t="n">
        <f aca="false">COUNTIFS('UAT tests'!$B$2:$B$189,$A25,'UAT tests'!$H$2:$H$189,"Blocked")</f>
        <v>0</v>
      </c>
      <c r="E25" s="18" t="n">
        <f aca="false">COUNTIFS('UAT tests'!$B$2:$B$189,$A25,'UAT tests'!$H$2:$H$189,"Not applicable")</f>
        <v>0</v>
      </c>
      <c r="F25" s="18" t="n">
        <f aca="false">COUNTIFS('UAT tests'!$B$2:$B$189,$A25,'UAT tests'!$H$2:$H$189,"Not tested")</f>
        <v>0</v>
      </c>
      <c r="G25" s="17" t="n">
        <f aca="false">COUNTIF('UAT tests'!$B$2:$B$189,$A25)</f>
        <v>3</v>
      </c>
    </row>
    <row r="26" customFormat="false" ht="15" hidden="false" customHeight="false" outlineLevel="0" collapsed="false">
      <c r="A26" s="11" t="s">
        <v>622</v>
      </c>
      <c r="B26" s="18" t="n">
        <f aca="false">COUNTIFS('UAT tests'!$B$2:$B$189,$A26,'UAT tests'!$H$2:$H$189,"Pass")</f>
        <v>0</v>
      </c>
      <c r="C26" s="18" t="n">
        <f aca="false">COUNTIFS('UAT tests'!$B$2:$B$189,$A26,'UAT tests'!$H$2:$H$189,"Fail")</f>
        <v>0</v>
      </c>
      <c r="D26" s="18" t="n">
        <f aca="false">COUNTIFS('UAT tests'!$B$2:$B$189,$A26,'UAT tests'!$H$2:$H$189,"Blocked")</f>
        <v>0</v>
      </c>
      <c r="E26" s="18" t="n">
        <f aca="false">COUNTIFS('UAT tests'!$B$2:$B$189,$A26,'UAT tests'!$H$2:$H$189,"Not applicable")</f>
        <v>0</v>
      </c>
      <c r="F26" s="18" t="n">
        <f aca="false">COUNTIFS('UAT tests'!$B$2:$B$189,$A26,'UAT tests'!$H$2:$H$189,"Not tested")</f>
        <v>0</v>
      </c>
      <c r="G26" s="17" t="n">
        <f aca="false">COUNTIF('UAT tests'!$B$2:$B$189,$A26)</f>
        <v>5</v>
      </c>
    </row>
    <row r="27" customFormat="false" ht="15" hidden="false" customHeight="false" outlineLevel="0" collapsed="false">
      <c r="A27" s="11" t="s">
        <v>644</v>
      </c>
      <c r="B27" s="18" t="n">
        <f aca="false">COUNTIFS('UAT tests'!$B$2:$B$189,$A27,'UAT tests'!$H$2:$H$189,"Pass")</f>
        <v>0</v>
      </c>
      <c r="C27" s="18" t="n">
        <f aca="false">COUNTIFS('UAT tests'!$B$2:$B$189,$A27,'UAT tests'!$H$2:$H$189,"Fail")</f>
        <v>0</v>
      </c>
      <c r="D27" s="18" t="n">
        <f aca="false">COUNTIFS('UAT tests'!$B$2:$B$189,$A27,'UAT tests'!$H$2:$H$189,"Blocked")</f>
        <v>0</v>
      </c>
      <c r="E27" s="18" t="n">
        <f aca="false">COUNTIFS('UAT tests'!$B$2:$B$189,$A27,'UAT tests'!$H$2:$H$189,"Not applicable")</f>
        <v>0</v>
      </c>
      <c r="F27" s="18" t="n">
        <f aca="false">COUNTIFS('UAT tests'!$B$2:$B$189,$A27,'UAT tests'!$H$2:$H$189,"Not tested")</f>
        <v>0</v>
      </c>
      <c r="G27" s="17" t="n">
        <f aca="false">COUNTIF('UAT tests'!$B$2:$B$189,$A27)</f>
        <v>6</v>
      </c>
    </row>
    <row r="28" customFormat="false" ht="15" hidden="false" customHeight="false" outlineLevel="0" collapsed="false">
      <c r="A28" s="11" t="s">
        <v>671</v>
      </c>
      <c r="B28" s="18" t="n">
        <f aca="false">COUNTIFS('UAT tests'!$B$2:$B$189,$A28,'UAT tests'!$H$2:$H$189,"Pass")</f>
        <v>0</v>
      </c>
      <c r="C28" s="18" t="n">
        <f aca="false">COUNTIFS('UAT tests'!$B$2:$B$189,$A28,'UAT tests'!$H$2:$H$189,"Fail")</f>
        <v>0</v>
      </c>
      <c r="D28" s="18" t="n">
        <f aca="false">COUNTIFS('UAT tests'!$B$2:$B$189,$A28,'UAT tests'!$H$2:$H$189,"Blocked")</f>
        <v>0</v>
      </c>
      <c r="E28" s="18" t="n">
        <f aca="false">COUNTIFS('UAT tests'!$B$2:$B$189,$A28,'UAT tests'!$H$2:$H$189,"Not applicable")</f>
        <v>0</v>
      </c>
      <c r="F28" s="18" t="n">
        <f aca="false">COUNTIFS('UAT tests'!$B$2:$B$189,$A28,'UAT tests'!$H$2:$H$189,"Not tested")</f>
        <v>0</v>
      </c>
      <c r="G28" s="17" t="n">
        <f aca="false">COUNTIF('UAT tests'!$B$2:$B$189,$A28)</f>
        <v>6</v>
      </c>
    </row>
    <row r="29" customFormat="false" ht="15" hidden="false" customHeight="false" outlineLevel="0" collapsed="false">
      <c r="A29" s="11" t="s">
        <v>696</v>
      </c>
      <c r="B29" s="18" t="n">
        <f aca="false">COUNTIFS('UAT tests'!$B$2:$B$189,$A29,'UAT tests'!$H$2:$H$189,"Pass")</f>
        <v>0</v>
      </c>
      <c r="C29" s="18" t="n">
        <f aca="false">COUNTIFS('UAT tests'!$B$2:$B$189,$A29,'UAT tests'!$H$2:$H$189,"Fail")</f>
        <v>0</v>
      </c>
      <c r="D29" s="18" t="n">
        <f aca="false">COUNTIFS('UAT tests'!$B$2:$B$189,$A29,'UAT tests'!$H$2:$H$189,"Blocked")</f>
        <v>0</v>
      </c>
      <c r="E29" s="18" t="n">
        <f aca="false">COUNTIFS('UAT tests'!$B$2:$B$189,$A29,'UAT tests'!$H$2:$H$189,"Not applicable")</f>
        <v>0</v>
      </c>
      <c r="F29" s="18" t="n">
        <f aca="false">COUNTIFS('UAT tests'!$B$2:$B$189,$A29,'UAT tests'!$H$2:$H$189,"Not tested")</f>
        <v>0</v>
      </c>
      <c r="G29" s="17" t="n">
        <f aca="false">COUNTIF('UAT tests'!$B$2:$B$189,$A29)</f>
        <v>12</v>
      </c>
    </row>
    <row r="30" customFormat="false" ht="15" hidden="false" customHeight="false" outlineLevel="0" collapsed="false">
      <c r="A30" s="11" t="s">
        <v>745</v>
      </c>
      <c r="B30" s="18" t="n">
        <f aca="false">COUNTIFS('UAT tests'!$B$2:$B$189,$A30,'UAT tests'!$H$2:$H$189,"Pass")</f>
        <v>0</v>
      </c>
      <c r="C30" s="18" t="n">
        <f aca="false">COUNTIFS('UAT tests'!$B$2:$B$189,$A30,'UAT tests'!$H$2:$H$189,"Fail")</f>
        <v>0</v>
      </c>
      <c r="D30" s="18" t="n">
        <f aca="false">COUNTIFS('UAT tests'!$B$2:$B$189,$A30,'UAT tests'!$H$2:$H$189,"Blocked")</f>
        <v>0</v>
      </c>
      <c r="E30" s="18" t="n">
        <f aca="false">COUNTIFS('UAT tests'!$B$2:$B$189,$A30,'UAT tests'!$H$2:$H$189,"Not applicable")</f>
        <v>0</v>
      </c>
      <c r="F30" s="18" t="n">
        <f aca="false">COUNTIFS('UAT tests'!$B$2:$B$189,$A30,'UAT tests'!$H$2:$H$189,"Not tested")</f>
        <v>0</v>
      </c>
      <c r="G30" s="17" t="n">
        <f aca="false">COUNTIF('UAT tests'!$B$2:$B$189,$A30)</f>
        <v>7</v>
      </c>
    </row>
    <row r="31" customFormat="false" ht="15" hidden="false" customHeight="false" outlineLevel="0" collapsed="false">
      <c r="A31" s="11" t="s">
        <v>778</v>
      </c>
      <c r="B31" s="18" t="n">
        <f aca="false">COUNTIFS('UAT tests'!$B$2:$B$189,$A31,'UAT tests'!$H$2:$H$189,"Pass")</f>
        <v>0</v>
      </c>
      <c r="C31" s="18" t="n">
        <f aca="false">COUNTIFS('UAT tests'!$B$2:$B$189,$A31,'UAT tests'!$H$2:$H$189,"Fail")</f>
        <v>0</v>
      </c>
      <c r="D31" s="18" t="n">
        <f aca="false">COUNTIFS('UAT tests'!$B$2:$B$189,$A31,'UAT tests'!$H$2:$H$189,"Blocked")</f>
        <v>0</v>
      </c>
      <c r="E31" s="18" t="n">
        <f aca="false">COUNTIFS('UAT tests'!$B$2:$B$189,$A31,'UAT tests'!$H$2:$H$189,"Not applicable")</f>
        <v>0</v>
      </c>
      <c r="F31" s="18" t="n">
        <f aca="false">COUNTIFS('UAT tests'!$B$2:$B$189,$A31,'UAT tests'!$H$2:$H$189,"Not tested")</f>
        <v>0</v>
      </c>
      <c r="G31" s="17" t="n">
        <f aca="false">COUNTIF('UAT tests'!$B$2:$B$189,$A31)</f>
        <v>4</v>
      </c>
    </row>
    <row r="32" customFormat="false" ht="15" hidden="false" customHeight="false" outlineLevel="0" collapsed="false">
      <c r="A32" s="11" t="s">
        <v>795</v>
      </c>
      <c r="B32" s="18" t="n">
        <f aca="false">COUNTIFS('UAT tests'!$B$2:$B$189,$A32,'UAT tests'!$H$2:$H$189,"Pass")</f>
        <v>0</v>
      </c>
      <c r="C32" s="18" t="n">
        <f aca="false">COUNTIFS('UAT tests'!$B$2:$B$189,$A32,'UAT tests'!$H$2:$H$189,"Fail")</f>
        <v>0</v>
      </c>
      <c r="D32" s="18" t="n">
        <f aca="false">COUNTIFS('UAT tests'!$B$2:$B$189,$A32,'UAT tests'!$H$2:$H$189,"Blocked")</f>
        <v>0</v>
      </c>
      <c r="E32" s="18" t="n">
        <f aca="false">COUNTIFS('UAT tests'!$B$2:$B$189,$A32,'UAT tests'!$H$2:$H$189,"Not applicable")</f>
        <v>0</v>
      </c>
      <c r="F32" s="18" t="n">
        <f aca="false">COUNTIFS('UAT tests'!$B$2:$B$189,$A32,'UAT tests'!$H$2:$H$189,"Not tested")</f>
        <v>0</v>
      </c>
      <c r="G32" s="17" t="n">
        <f aca="false">COUNTIF('UAT tests'!$B$2:$B$189,$A32)</f>
        <v>12</v>
      </c>
    </row>
    <row r="33" customFormat="false" ht="15" hidden="false" customHeight="false" outlineLevel="0" collapsed="false">
      <c r="A33" s="11" t="s">
        <v>844</v>
      </c>
      <c r="B33" s="18" t="n">
        <f aca="false">COUNTIFS('UAT tests'!$B$2:$B$189,$A33,'UAT tests'!$H$2:$H$189,"Pass")</f>
        <v>0</v>
      </c>
      <c r="C33" s="18" t="n">
        <f aca="false">COUNTIFS('UAT tests'!$B$2:$B$189,$A33,'UAT tests'!$H$2:$H$189,"Fail")</f>
        <v>0</v>
      </c>
      <c r="D33" s="18" t="n">
        <f aca="false">COUNTIFS('UAT tests'!$B$2:$B$189,$A33,'UAT tests'!$H$2:$H$189,"Blocked")</f>
        <v>0</v>
      </c>
      <c r="E33" s="18" t="n">
        <f aca="false">COUNTIFS('UAT tests'!$B$2:$B$189,$A33,'UAT tests'!$H$2:$H$189,"Not applicable")</f>
        <v>0</v>
      </c>
      <c r="F33" s="18" t="n">
        <f aca="false">COUNTIFS('UAT tests'!$B$2:$B$189,$A33,'UAT tests'!$H$2:$H$189,"Not tested")</f>
        <v>0</v>
      </c>
      <c r="G33" s="17" t="n">
        <f aca="false">COUNTIF('UAT tests'!$B$2:$B$189,$A33)</f>
        <v>7</v>
      </c>
    </row>
    <row r="34" customFormat="false" ht="15" hidden="false" customHeight="false" outlineLevel="0" collapsed="false">
      <c r="A34" s="11" t="s">
        <v>873</v>
      </c>
      <c r="B34" s="18" t="n">
        <f aca="false">COUNTIFS('UAT tests'!$B$2:$B$189,$A34,'UAT tests'!$H$2:$H$189,"Pass")</f>
        <v>0</v>
      </c>
      <c r="C34" s="18" t="n">
        <f aca="false">COUNTIFS('UAT tests'!$B$2:$B$189,$A34,'UAT tests'!$H$2:$H$189,"Fail")</f>
        <v>0</v>
      </c>
      <c r="D34" s="18" t="n">
        <f aca="false">COUNTIFS('UAT tests'!$B$2:$B$189,$A34,'UAT tests'!$H$2:$H$189,"Blocked")</f>
        <v>0</v>
      </c>
      <c r="E34" s="18" t="n">
        <f aca="false">COUNTIFS('UAT tests'!$B$2:$B$189,$A34,'UAT tests'!$H$2:$H$189,"Not applicable")</f>
        <v>0</v>
      </c>
      <c r="F34" s="18" t="n">
        <f aca="false">COUNTIFS('UAT tests'!$B$2:$B$189,$A34,'UAT tests'!$H$2:$H$189,"Not tested")</f>
        <v>0</v>
      </c>
      <c r="G34" s="17" t="n">
        <f aca="false">COUNTIF('UAT tests'!$B$2:$B$189,$A34)</f>
        <v>5</v>
      </c>
    </row>
    <row r="37" customFormat="false" ht="15" hidden="false" customHeight="false" outlineLevel="0" collapsed="false">
      <c r="A37" s="19" t="s">
        <v>906</v>
      </c>
    </row>
    <row r="38" customFormat="false" ht="25.5" hidden="false" customHeight="true" outlineLevel="0" collapsed="false">
      <c r="A38" s="20" t="s">
        <v>907</v>
      </c>
      <c r="B38" s="20"/>
      <c r="C38" s="20"/>
      <c r="D38" s="20"/>
      <c r="E38" s="20"/>
      <c r="F38" s="20"/>
      <c r="G38" s="20"/>
    </row>
    <row r="39" customFormat="false" ht="25.5" hidden="false" customHeight="true" outlineLevel="0" collapsed="false">
      <c r="A39" s="20" t="s">
        <v>908</v>
      </c>
      <c r="B39" s="20"/>
      <c r="C39" s="20"/>
      <c r="D39" s="20"/>
      <c r="E39" s="20"/>
      <c r="F39" s="20"/>
      <c r="G39" s="20"/>
    </row>
    <row r="40" customFormat="false" ht="25.5" hidden="false" customHeight="true" outlineLevel="0" collapsed="false">
      <c r="A40" s="20" t="s">
        <v>909</v>
      </c>
      <c r="B40" s="20"/>
      <c r="C40" s="20"/>
      <c r="D40" s="20"/>
      <c r="E40" s="20"/>
      <c r="F40" s="20"/>
      <c r="G40" s="20"/>
    </row>
    <row r="41" customFormat="false" ht="25.5" hidden="false" customHeight="true" outlineLevel="0" collapsed="false">
      <c r="A41" s="20" t="s">
        <v>910</v>
      </c>
      <c r="B41" s="20"/>
      <c r="C41" s="20"/>
      <c r="D41" s="20"/>
      <c r="E41" s="20"/>
      <c r="F41" s="20"/>
      <c r="G41" s="20"/>
    </row>
  </sheetData>
  <mergeCells count="4">
    <mergeCell ref="A38:G38"/>
    <mergeCell ref="A39:G39"/>
    <mergeCell ref="A40:G40"/>
    <mergeCell ref="A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8"/>
    <col collapsed="false" customWidth="true" hidden="false" outlineLevel="0" max="3" min="3" style="0" width="12"/>
    <col collapsed="false" customWidth="true" hidden="false" outlineLevel="0" max="4" min="4" style="0" width="20"/>
    <col collapsed="false" customWidth="true" hidden="false" outlineLevel="0" max="5" min="5" style="0" width="24"/>
    <col collapsed="false" customWidth="true" hidden="false" outlineLevel="0" max="6" min="6" style="0" width="50"/>
    <col collapsed="false" customWidth="true" hidden="false" outlineLevel="0" max="7" min="7" style="0" width="44"/>
    <col collapsed="false" customWidth="true" hidden="false" outlineLevel="0" max="8" min="8" style="0" width="50"/>
    <col collapsed="false" customWidth="true" hidden="false" outlineLevel="0" max="9" min="9" style="0" width="16"/>
    <col collapsed="false" customWidth="true" hidden="false" outlineLevel="0" max="10" min="10" style="0" width="40"/>
  </cols>
  <sheetData>
    <row r="1" customFormat="false" ht="17.35" hidden="false" customHeight="false" outlineLevel="0" collapsed="false">
      <c r="A1" s="5" t="s">
        <v>911</v>
      </c>
    </row>
    <row r="2" customFormat="false" ht="15" hidden="false" customHeight="false" outlineLevel="0" collapsed="false">
      <c r="A2" s="16" t="s">
        <v>912</v>
      </c>
    </row>
    <row r="4" customFormat="false" ht="30" hidden="false" customHeight="true" outlineLevel="0" collapsed="false">
      <c r="A4" s="7" t="s">
        <v>913</v>
      </c>
      <c r="B4" s="7" t="s">
        <v>914</v>
      </c>
      <c r="C4" s="7" t="s">
        <v>76</v>
      </c>
      <c r="D4" s="7" t="s">
        <v>915</v>
      </c>
      <c r="E4" s="7" t="s">
        <v>916</v>
      </c>
      <c r="F4" s="7" t="s">
        <v>917</v>
      </c>
      <c r="G4" s="7" t="s">
        <v>918</v>
      </c>
      <c r="H4" s="7" t="s">
        <v>919</v>
      </c>
      <c r="I4" s="7" t="s">
        <v>920</v>
      </c>
      <c r="J4" s="7" t="s">
        <v>921</v>
      </c>
    </row>
    <row r="5" customFormat="false" ht="15" hidden="false" customHeight="false" outlineLevel="0" collapsed="false">
      <c r="A5" s="8" t="s">
        <v>922</v>
      </c>
      <c r="B5" s="8" t="s">
        <v>923</v>
      </c>
      <c r="C5" s="8"/>
      <c r="D5" s="8" t="s">
        <v>924</v>
      </c>
      <c r="E5" s="8" t="s">
        <v>37</v>
      </c>
      <c r="F5" s="8" t="s">
        <v>925</v>
      </c>
      <c r="G5" s="8" t="s">
        <v>926</v>
      </c>
      <c r="H5" s="8" t="s">
        <v>927</v>
      </c>
      <c r="I5" s="8" t="s">
        <v>928</v>
      </c>
      <c r="J5" s="8"/>
    </row>
    <row r="6" customFormat="false" ht="30" hidden="false" customHeight="true" outlineLevel="0" collapsed="false">
      <c r="A6" s="11"/>
      <c r="B6" s="11"/>
      <c r="C6" s="11"/>
      <c r="D6" s="11"/>
      <c r="E6" s="11"/>
      <c r="F6" s="11"/>
      <c r="G6" s="11"/>
      <c r="H6" s="11"/>
      <c r="I6" s="11"/>
      <c r="J6" s="11"/>
    </row>
    <row r="7" customFormat="false" ht="30" hidden="false" customHeight="true" outlineLevel="0" collapsed="false">
      <c r="A7" s="11"/>
      <c r="B7" s="11"/>
      <c r="C7" s="11"/>
      <c r="D7" s="11"/>
      <c r="E7" s="11"/>
      <c r="F7" s="11"/>
      <c r="G7" s="11"/>
      <c r="H7" s="11"/>
      <c r="I7" s="11"/>
      <c r="J7" s="11"/>
    </row>
    <row r="8" customFormat="false" ht="30" hidden="false" customHeight="true" outlineLevel="0" collapsed="false">
      <c r="A8" s="11"/>
      <c r="B8" s="11"/>
      <c r="C8" s="11"/>
      <c r="D8" s="11"/>
      <c r="E8" s="11"/>
      <c r="F8" s="11"/>
      <c r="G8" s="11"/>
      <c r="H8" s="11"/>
      <c r="I8" s="11"/>
      <c r="J8" s="11"/>
    </row>
    <row r="9" customFormat="false" ht="30" hidden="false" customHeight="true" outlineLevel="0" collapsed="false">
      <c r="A9" s="11"/>
      <c r="B9" s="11"/>
      <c r="C9" s="11"/>
      <c r="D9" s="11"/>
      <c r="E9" s="11"/>
      <c r="F9" s="11"/>
      <c r="G9" s="11"/>
      <c r="H9" s="11"/>
      <c r="I9" s="11"/>
      <c r="J9" s="11"/>
    </row>
    <row r="10" customFormat="false" ht="30" hidden="false" customHeight="true" outlineLevel="0" collapsed="false">
      <c r="A10" s="11"/>
      <c r="B10" s="11"/>
      <c r="C10" s="11"/>
      <c r="D10" s="11"/>
      <c r="E10" s="11"/>
      <c r="F10" s="11"/>
      <c r="G10" s="11"/>
      <c r="H10" s="11"/>
      <c r="I10" s="11"/>
      <c r="J10" s="11"/>
    </row>
    <row r="11" customFormat="false" ht="30" hidden="false" customHeight="true" outlineLevel="0" collapsed="false">
      <c r="A11" s="11"/>
      <c r="B11" s="11"/>
      <c r="C11" s="11"/>
      <c r="D11" s="11"/>
      <c r="E11" s="11"/>
      <c r="F11" s="11"/>
      <c r="G11" s="11"/>
      <c r="H11" s="11"/>
      <c r="I11" s="11"/>
      <c r="J11" s="11"/>
    </row>
    <row r="12" customFormat="false" ht="30" hidden="false" customHeight="true" outlineLevel="0" collapsed="false">
      <c r="A12" s="11"/>
      <c r="B12" s="11"/>
      <c r="C12" s="11"/>
      <c r="D12" s="11"/>
      <c r="E12" s="11"/>
      <c r="F12" s="11"/>
      <c r="G12" s="11"/>
      <c r="H12" s="11"/>
      <c r="I12" s="11"/>
      <c r="J12" s="11"/>
    </row>
    <row r="13" customFormat="false" ht="30" hidden="false" customHeight="true" outlineLevel="0" collapsed="false">
      <c r="A13" s="11"/>
      <c r="B13" s="11"/>
      <c r="C13" s="11"/>
      <c r="D13" s="11"/>
      <c r="E13" s="11"/>
      <c r="F13" s="11"/>
      <c r="G13" s="11"/>
      <c r="H13" s="11"/>
      <c r="I13" s="11"/>
      <c r="J13" s="11"/>
    </row>
    <row r="14" customFormat="false" ht="30" hidden="false" customHeight="true" outlineLevel="0" collapsed="false">
      <c r="A14" s="11"/>
      <c r="B14" s="11"/>
      <c r="C14" s="11"/>
      <c r="D14" s="11"/>
      <c r="E14" s="11"/>
      <c r="F14" s="11"/>
      <c r="G14" s="11"/>
      <c r="H14" s="11"/>
      <c r="I14" s="11"/>
      <c r="J14" s="11"/>
    </row>
    <row r="15" customFormat="false" ht="30" hidden="false" customHeight="true" outlineLevel="0" collapsed="false">
      <c r="A15" s="11"/>
      <c r="B15" s="11"/>
      <c r="C15" s="11"/>
      <c r="D15" s="11"/>
      <c r="E15" s="11"/>
      <c r="F15" s="11"/>
      <c r="G15" s="11"/>
      <c r="H15" s="11"/>
      <c r="I15" s="11"/>
      <c r="J15" s="11"/>
    </row>
    <row r="16" customFormat="false" ht="30" hidden="false" customHeight="true" outlineLevel="0" collapsed="false">
      <c r="A16" s="11"/>
      <c r="B16" s="11"/>
      <c r="C16" s="11"/>
      <c r="D16" s="11"/>
      <c r="E16" s="11"/>
      <c r="F16" s="11"/>
      <c r="G16" s="11"/>
      <c r="H16" s="11"/>
      <c r="I16" s="11"/>
      <c r="J16" s="11"/>
    </row>
    <row r="17" customFormat="false" ht="30" hidden="false" customHeight="true" outlineLevel="0" collapsed="false">
      <c r="A17" s="11"/>
      <c r="B17" s="11"/>
      <c r="C17" s="11"/>
      <c r="D17" s="11"/>
      <c r="E17" s="11"/>
      <c r="F17" s="11"/>
      <c r="G17" s="11"/>
      <c r="H17" s="11"/>
      <c r="I17" s="11"/>
      <c r="J17" s="11"/>
    </row>
    <row r="18" customFormat="false" ht="30" hidden="false" customHeight="true" outlineLevel="0" collapsed="false">
      <c r="A18" s="11"/>
      <c r="B18" s="11"/>
      <c r="C18" s="11"/>
      <c r="D18" s="11"/>
      <c r="E18" s="11"/>
      <c r="F18" s="11"/>
      <c r="G18" s="11"/>
      <c r="H18" s="11"/>
      <c r="I18" s="11"/>
      <c r="J18" s="11"/>
    </row>
    <row r="19" customFormat="false" ht="30" hidden="false" customHeight="true" outlineLevel="0" collapsed="false">
      <c r="A19" s="11"/>
      <c r="B19" s="11"/>
      <c r="C19" s="11"/>
      <c r="D19" s="11"/>
      <c r="E19" s="11"/>
      <c r="F19" s="11"/>
      <c r="G19" s="11"/>
      <c r="H19" s="11"/>
      <c r="I19" s="11"/>
      <c r="J19" s="11"/>
    </row>
    <row r="20" customFormat="false" ht="30" hidden="false" customHeight="true" outlineLevel="0" collapsed="false">
      <c r="A20" s="11"/>
      <c r="B20" s="11"/>
      <c r="C20" s="11"/>
      <c r="D20" s="11"/>
      <c r="E20" s="11"/>
      <c r="F20" s="11"/>
      <c r="G20" s="11"/>
      <c r="H20" s="11"/>
      <c r="I20" s="11"/>
      <c r="J20" s="11"/>
    </row>
    <row r="21" customFormat="false" ht="30" hidden="false" customHeight="true" outlineLevel="0" collapsed="false">
      <c r="A21" s="11"/>
      <c r="B21" s="11"/>
      <c r="C21" s="11"/>
      <c r="D21" s="11"/>
      <c r="E21" s="11"/>
      <c r="F21" s="11"/>
      <c r="G21" s="11"/>
      <c r="H21" s="11"/>
      <c r="I21" s="11"/>
      <c r="J21" s="11"/>
    </row>
    <row r="22" customFormat="false" ht="30" hidden="false" customHeight="true" outlineLevel="0" collapsed="false">
      <c r="A22" s="11"/>
      <c r="B22" s="11"/>
      <c r="C22" s="11"/>
      <c r="D22" s="11"/>
      <c r="E22" s="11"/>
      <c r="F22" s="11"/>
      <c r="G22" s="11"/>
      <c r="H22" s="11"/>
      <c r="I22" s="11"/>
      <c r="J22" s="11"/>
    </row>
    <row r="23" customFormat="false" ht="30" hidden="false" customHeight="true" outlineLevel="0" collapsed="false">
      <c r="A23" s="11"/>
      <c r="B23" s="11"/>
      <c r="C23" s="11"/>
      <c r="D23" s="11"/>
      <c r="E23" s="11"/>
      <c r="F23" s="11"/>
      <c r="G23" s="11"/>
      <c r="H23" s="11"/>
      <c r="I23" s="11"/>
      <c r="J23" s="11"/>
    </row>
    <row r="24" customFormat="false" ht="30" hidden="false" customHeight="true" outlineLevel="0" collapsed="false">
      <c r="A24" s="11"/>
      <c r="B24" s="11"/>
      <c r="C24" s="11"/>
      <c r="D24" s="11"/>
      <c r="E24" s="11"/>
      <c r="F24" s="11"/>
      <c r="G24" s="11"/>
      <c r="H24" s="11"/>
      <c r="I24" s="11"/>
      <c r="J24" s="11"/>
    </row>
    <row r="25" customFormat="false" ht="30" hidden="false" customHeight="true" outlineLevel="0" collapsed="false">
      <c r="A25" s="11"/>
      <c r="B25" s="11"/>
      <c r="C25" s="11"/>
      <c r="D25" s="11"/>
      <c r="E25" s="11"/>
      <c r="F25" s="11"/>
      <c r="G25" s="11"/>
      <c r="H25" s="11"/>
      <c r="I25" s="11"/>
      <c r="J25" s="11"/>
    </row>
    <row r="26" customFormat="false" ht="30" hidden="false" customHeight="true" outlineLevel="0" collapsed="false">
      <c r="A26" s="11"/>
      <c r="B26" s="11"/>
      <c r="C26" s="11"/>
      <c r="D26" s="11"/>
      <c r="E26" s="11"/>
      <c r="F26" s="11"/>
      <c r="G26" s="11"/>
      <c r="H26" s="11"/>
      <c r="I26" s="11"/>
      <c r="J26" s="11"/>
    </row>
    <row r="27" customFormat="false" ht="30" hidden="false" customHeight="true" outlineLevel="0" collapsed="false">
      <c r="A27" s="11"/>
      <c r="B27" s="11"/>
      <c r="C27" s="11"/>
      <c r="D27" s="11"/>
      <c r="E27" s="11"/>
      <c r="F27" s="11"/>
      <c r="G27" s="11"/>
      <c r="H27" s="11"/>
      <c r="I27" s="11"/>
      <c r="J27" s="11"/>
    </row>
    <row r="28" customFormat="false" ht="30" hidden="false" customHeight="true" outlineLevel="0" collapsed="false">
      <c r="A28" s="11"/>
      <c r="B28" s="11"/>
      <c r="C28" s="11"/>
      <c r="D28" s="11"/>
      <c r="E28" s="11"/>
      <c r="F28" s="11"/>
      <c r="G28" s="11"/>
      <c r="H28" s="11"/>
      <c r="I28" s="11"/>
      <c r="J28" s="11"/>
    </row>
    <row r="29" customFormat="false" ht="30" hidden="false" customHeight="true" outlineLevel="0" collapsed="false">
      <c r="A29" s="11"/>
      <c r="B29" s="11"/>
      <c r="C29" s="11"/>
      <c r="D29" s="11"/>
      <c r="E29" s="11"/>
      <c r="F29" s="11"/>
      <c r="G29" s="11"/>
      <c r="H29" s="11"/>
      <c r="I29" s="11"/>
      <c r="J29" s="11"/>
    </row>
    <row r="30" customFormat="false" ht="30" hidden="false" customHeight="true" outlineLevel="0" collapsed="false">
      <c r="A30" s="11"/>
      <c r="B30" s="11"/>
      <c r="C30" s="11"/>
      <c r="D30" s="11"/>
      <c r="E30" s="11"/>
      <c r="F30" s="11"/>
      <c r="G30" s="11"/>
      <c r="H30" s="11"/>
      <c r="I30" s="11"/>
      <c r="J30" s="11"/>
    </row>
    <row r="31" customFormat="false" ht="30" hidden="false" customHeight="true" outlineLevel="0" collapsed="false">
      <c r="A31" s="11"/>
      <c r="B31" s="11"/>
      <c r="C31" s="11"/>
      <c r="D31" s="11"/>
      <c r="E31" s="11"/>
      <c r="F31" s="11"/>
      <c r="G31" s="11"/>
      <c r="H31" s="11"/>
      <c r="I31" s="11"/>
      <c r="J31" s="11"/>
    </row>
    <row r="32" customFormat="false" ht="30" hidden="false" customHeight="true" outlineLevel="0" collapsed="false">
      <c r="A32" s="11"/>
      <c r="B32" s="11"/>
      <c r="C32" s="11"/>
      <c r="D32" s="11"/>
      <c r="E32" s="11"/>
      <c r="F32" s="11"/>
      <c r="G32" s="11"/>
      <c r="H32" s="11"/>
      <c r="I32" s="11"/>
      <c r="J32" s="11"/>
    </row>
    <row r="33" customFormat="false" ht="30" hidden="false" customHeight="true" outlineLevel="0" collapsed="false">
      <c r="A33" s="11"/>
      <c r="B33" s="11"/>
      <c r="C33" s="11"/>
      <c r="D33" s="11"/>
      <c r="E33" s="11"/>
      <c r="F33" s="11"/>
      <c r="G33" s="11"/>
      <c r="H33" s="11"/>
      <c r="I33" s="11"/>
      <c r="J33" s="11"/>
    </row>
    <row r="34" customFormat="false" ht="30" hidden="false" customHeight="true" outlineLevel="0" collapsed="false">
      <c r="A34" s="11"/>
      <c r="B34" s="11"/>
      <c r="C34" s="11"/>
      <c r="D34" s="11"/>
      <c r="E34" s="11"/>
      <c r="F34" s="11"/>
      <c r="G34" s="11"/>
      <c r="H34" s="11"/>
      <c r="I34" s="11"/>
      <c r="J34" s="11"/>
    </row>
    <row r="35" customFormat="false" ht="30" hidden="false" customHeight="true" outlineLevel="0" collapsed="false">
      <c r="A35" s="11"/>
      <c r="B35" s="11"/>
      <c r="C35" s="11"/>
      <c r="D35" s="11"/>
      <c r="E35" s="11"/>
      <c r="F35" s="11"/>
      <c r="G35" s="11"/>
      <c r="H35" s="11"/>
      <c r="I35" s="11"/>
      <c r="J35" s="11"/>
    </row>
    <row r="36" customFormat="false" ht="30" hidden="false" customHeight="true" outlineLevel="0" collapsed="false">
      <c r="A36" s="11"/>
      <c r="B36" s="11"/>
      <c r="C36" s="11"/>
      <c r="D36" s="11"/>
      <c r="E36" s="11"/>
      <c r="F36" s="11"/>
      <c r="G36" s="11"/>
      <c r="H36" s="11"/>
      <c r="I36" s="11"/>
      <c r="J36" s="11"/>
    </row>
    <row r="37" customFormat="false" ht="30" hidden="false" customHeight="true" outlineLevel="0" collapsed="false">
      <c r="A37" s="11"/>
      <c r="B37" s="11"/>
      <c r="C37" s="11"/>
      <c r="D37" s="11"/>
      <c r="E37" s="11"/>
      <c r="F37" s="11"/>
      <c r="G37" s="11"/>
      <c r="H37" s="11"/>
      <c r="I37" s="11"/>
      <c r="J37" s="11"/>
    </row>
    <row r="38" customFormat="false" ht="30" hidden="false" customHeight="true" outlineLevel="0" collapsed="false">
      <c r="A38" s="11"/>
      <c r="B38" s="11"/>
      <c r="C38" s="11"/>
      <c r="D38" s="11"/>
      <c r="E38" s="11"/>
      <c r="F38" s="11"/>
      <c r="G38" s="11"/>
      <c r="H38" s="11"/>
      <c r="I38" s="11"/>
      <c r="J38" s="11"/>
    </row>
    <row r="39" customFormat="false" ht="30" hidden="false" customHeight="true" outlineLevel="0" collapsed="false">
      <c r="A39" s="11"/>
      <c r="B39" s="11"/>
      <c r="C39" s="11"/>
      <c r="D39" s="11"/>
      <c r="E39" s="11"/>
      <c r="F39" s="11"/>
      <c r="G39" s="11"/>
      <c r="H39" s="11"/>
      <c r="I39" s="11"/>
      <c r="J39" s="11"/>
    </row>
    <row r="40" customFormat="false" ht="30" hidden="false" customHeight="true" outlineLevel="0" collapsed="false">
      <c r="A40" s="11"/>
      <c r="B40" s="11"/>
      <c r="C40" s="11"/>
      <c r="D40" s="11"/>
      <c r="E40" s="11"/>
      <c r="F40" s="11"/>
      <c r="G40" s="11"/>
      <c r="H40" s="11"/>
      <c r="I40" s="11"/>
      <c r="J40" s="11"/>
    </row>
    <row r="41" customFormat="false" ht="30" hidden="false" customHeight="true" outlineLevel="0" collapsed="false">
      <c r="A41" s="11"/>
      <c r="B41" s="11"/>
      <c r="C41" s="11"/>
      <c r="D41" s="11"/>
      <c r="E41" s="11"/>
      <c r="F41" s="11"/>
      <c r="G41" s="11"/>
      <c r="H41" s="11"/>
      <c r="I41" s="11"/>
      <c r="J41" s="11"/>
    </row>
    <row r="42" customFormat="false" ht="30" hidden="false" customHeight="true" outlineLevel="0" collapsed="false">
      <c r="A42" s="11"/>
      <c r="B42" s="11"/>
      <c r="C42" s="11"/>
      <c r="D42" s="11"/>
      <c r="E42" s="11"/>
      <c r="F42" s="11"/>
      <c r="G42" s="11"/>
      <c r="H42" s="11"/>
      <c r="I42" s="11"/>
      <c r="J42" s="11"/>
    </row>
    <row r="43" customFormat="false" ht="30" hidden="false" customHeight="true" outlineLevel="0" collapsed="false">
      <c r="A43" s="11"/>
      <c r="B43" s="11"/>
      <c r="C43" s="11"/>
      <c r="D43" s="11"/>
      <c r="E43" s="11"/>
      <c r="F43" s="11"/>
      <c r="G43" s="11"/>
      <c r="H43" s="11"/>
      <c r="I43" s="11"/>
      <c r="J43" s="11"/>
    </row>
    <row r="44" customFormat="false" ht="30" hidden="false" customHeight="true" outlineLevel="0" collapsed="false">
      <c r="A44" s="11"/>
      <c r="B44" s="11"/>
      <c r="C44" s="11"/>
      <c r="D44" s="11"/>
      <c r="E44" s="11"/>
      <c r="F44" s="11"/>
      <c r="G44" s="11"/>
      <c r="H44" s="11"/>
      <c r="I44" s="11"/>
      <c r="J44" s="11"/>
    </row>
    <row r="45" customFormat="false" ht="30" hidden="false" customHeight="true" outlineLevel="0" collapsed="false">
      <c r="A45" s="11"/>
      <c r="B45" s="11"/>
      <c r="C45" s="11"/>
      <c r="D45" s="11"/>
      <c r="E45" s="11"/>
      <c r="F45" s="11"/>
      <c r="G45" s="11"/>
      <c r="H45" s="11"/>
      <c r="I45" s="11"/>
      <c r="J45" s="11"/>
    </row>
  </sheetData>
  <dataValidations count="1">
    <dataValidation allowBlank="true" errorStyle="stop" operator="between" showDropDown="false" showErrorMessage="false" showInputMessage="false" sqref="I6:I45" type="list">
      <formula1>"Stops me working,Wrong data,Awkward,Cosmetic,Idea"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2026-08-09T17:25:28Z</dcterms:created>
  <dc:creator>openpyxl</dc:creator>
  <dc:description/>
  <dc:language>en-US</dc:language>
  <cp:lastModifiedBy/>
  <dcterms:modified xsi:type="dcterms:W3CDTF">2026-08-09T17:25:28Z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